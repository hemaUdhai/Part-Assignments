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F:\Entri coding\Assigments\"/>
    </mc:Choice>
  </mc:AlternateContent>
  <xr:revisionPtr revIDLastSave="0" documentId="13_ncr:1_{6872AC4B-3482-482D-8E4D-995A5CD8826A}"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Formated Dataset" sheetId="2" r:id="rId2"/>
    <sheet name="cleaned dataset" sheetId="4" r:id="rId3"/>
    <sheet name="Observation" sheetId="3" r:id="rId4"/>
  </sheets>
  <definedNames>
    <definedName name="_xlnm._FilterDatabase" localSheetId="1" hidden="1">'Formated Dataset'!$A$1:$O$35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hJb8T1ZghnA6qFS/bC5j8xshLTM/vtIaNva7vzkMTCI="/>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2" i="2"/>
  <c r="C4" i="2"/>
  <c r="C3"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2" i="2"/>
  <c r="H2" i="2"/>
  <c r="H13" i="2"/>
  <c r="H14" i="2"/>
  <c r="H15" i="2"/>
  <c r="H16" i="2"/>
  <c r="H17" i="2"/>
  <c r="H18" i="2"/>
  <c r="H19" i="2"/>
  <c r="H20" i="2"/>
  <c r="H21" i="2"/>
  <c r="H22" i="2"/>
  <c r="H23" i="2"/>
  <c r="H24" i="2"/>
  <c r="H25" i="2"/>
  <c r="H26" i="2"/>
  <c r="H27" i="2"/>
  <c r="H28" i="2"/>
  <c r="H29" i="2"/>
  <c r="H30" i="2"/>
  <c r="H31" i="2"/>
  <c r="H32" i="2"/>
  <c r="H3" i="2"/>
  <c r="H4" i="2"/>
  <c r="H5" i="2"/>
  <c r="H6" i="2"/>
  <c r="H7" i="2"/>
  <c r="H8" i="2"/>
  <c r="H9" i="2"/>
  <c r="H10" i="2"/>
  <c r="H11" i="2"/>
  <c r="H12" i="2"/>
</calcChain>
</file>

<file path=xl/sharedStrings.xml><?xml version="1.0" encoding="utf-8"?>
<sst xmlns="http://schemas.openxmlformats.org/spreadsheetml/2006/main" count="419" uniqueCount="166">
  <si>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</si>
  <si>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</si>
  <si>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</si>
  <si>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</si>
  <si>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</si>
  <si>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</si>
  <si>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</si>
  <si>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</si>
  <si>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</si>
  <si>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</si>
  <si>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</si>
  <si>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</si>
  <si>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</si>
  <si>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</si>
  <si>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</si>
  <si>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</si>
  <si>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</si>
  <si>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</si>
  <si>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</si>
  <si>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</si>
  <si>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</si>
  <si>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</si>
  <si>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</si>
  <si>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</si>
  <si>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Outdoor</t>
  </si>
  <si>
    <t>07-JUN-UK</t>
  </si>
  <si>
    <t>Headphones</t>
  </si>
  <si>
    <t>Sony</t>
  </si>
  <si>
    <t>19-JUL-UK</t>
  </si>
  <si>
    <t>T-shirt</t>
  </si>
  <si>
    <t>Adidas</t>
  </si>
  <si>
    <t>23-AUG-UK</t>
  </si>
  <si>
    <t>Blender</t>
  </si>
  <si>
    <t>Ninja</t>
  </si>
  <si>
    <t>05-SEP-UK</t>
  </si>
  <si>
    <t>Tablet</t>
  </si>
  <si>
    <t>Apple</t>
  </si>
  <si>
    <t>14-OCT-UK</t>
  </si>
  <si>
    <t>Hiking Boots</t>
  </si>
  <si>
    <t>Timberland</t>
  </si>
  <si>
    <t>17-JUN-IN</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</si>
  <si>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</si>
  <si>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</si>
  <si>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</si>
  <si>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</si>
  <si>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</si>
  <si>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</si>
  <si>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</si>
  <si>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</si>
  <si>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</si>
  <si>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</si>
  <si>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</si>
  <si>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</si>
  <si>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</si>
  <si>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</si>
  <si>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</si>
  <si>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</si>
  <si>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</si>
  <si>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</si>
  <si>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</si>
  <si>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</si>
  <si>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</si>
  <si>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</si>
  <si>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</si>
  <si>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</si>
  <si>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</si>
  <si>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</si>
  <si>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</si>
  <si>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</si>
  <si>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</si>
  <si>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</si>
  <si>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</si>
  <si>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</si>
  <si>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</si>
  <si>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</si>
  <si>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</si>
  <si>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</si>
  <si>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</si>
  <si>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</si>
  <si>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</si>
  <si>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</si>
  <si>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</si>
  <si>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</si>
  <si>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</si>
  <si>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</si>
  <si>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</si>
  <si>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</si>
  <si>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</si>
  <si>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</si>
  <si>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</si>
  <si>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</si>
  <si>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</si>
  <si>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</si>
  <si>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Observation:</t>
  </si>
  <si>
    <t>In the given Dataset there is no missing values available. If the Missing Values is Present in the dataset we use COUNTBLANK() function to Count how many Datas are missing in the Data.</t>
  </si>
  <si>
    <t>Another way is to use ISBLANK function to find the missing values in the data by isblank function.</t>
  </si>
  <si>
    <t>To replace the missing values we use IF and ISBLANK function for example =IF(ISBLANK(Values),AVERAGE(range),Column) to find in the values in Statistical Imputation.</t>
  </si>
  <si>
    <t>Smart Phone</t>
  </si>
  <si>
    <t>Smart Watch</t>
  </si>
  <si>
    <t>In Correcting inconsistent data we use the Find and Replace option to correct the inconsistent data into a meaningfull form.</t>
  </si>
  <si>
    <t xml:space="preserve">Removing Duplicates: In the Present dataset I found 3 duplicate values and removed it 2 values are same rows in the dataset and In 1 value only the price has been changed but the date and all columns are same so I romove the dulicate values </t>
  </si>
  <si>
    <t>Manufacturing Date</t>
  </si>
  <si>
    <t>Country Code</t>
  </si>
  <si>
    <t>Product Brand</t>
  </si>
  <si>
    <t>JAN</t>
  </si>
  <si>
    <t>US</t>
  </si>
  <si>
    <t>FEB</t>
  </si>
  <si>
    <t>MAR</t>
  </si>
  <si>
    <t>APR</t>
  </si>
  <si>
    <t>MAY</t>
  </si>
  <si>
    <t>JUN</t>
  </si>
  <si>
    <t>UK</t>
  </si>
  <si>
    <t>JUL</t>
  </si>
  <si>
    <t>AUG</t>
  </si>
  <si>
    <t>SEP</t>
  </si>
  <si>
    <t>OCT</t>
  </si>
  <si>
    <t>IN</t>
  </si>
  <si>
    <t>NOV</t>
  </si>
  <si>
    <t>AU</t>
  </si>
  <si>
    <t>DEC</t>
  </si>
  <si>
    <t>DE</t>
  </si>
  <si>
    <t>CA</t>
  </si>
  <si>
    <t>ES</t>
  </si>
  <si>
    <t>CN</t>
  </si>
  <si>
    <t>IT</t>
  </si>
  <si>
    <t>RU</t>
  </si>
  <si>
    <t>BR</t>
  </si>
  <si>
    <t>FR</t>
  </si>
  <si>
    <t xml:space="preserve">Splitting and Merging Data: To split the data Using the Text to Columns in Data tab in excel we delimited the Product ID column into 3 different columns and then I have used Concatenate function (OR) Shortcut =B2&amp;"-"&amp;A2  to connect the Month and date columns and named as Manufacturing Date.                                                                                                               </t>
  </si>
  <si>
    <t>To Merging Data I have used the CONCATENATE function to Connect the 2 columns named as Brand Name and the Product Name into Product Brand</t>
  </si>
  <si>
    <t xml:space="preserve">Number Formatting: I have formated the Price column into currency format by choosing the number group in home tab and select the currency symbol $ and set the decimal places </t>
  </si>
  <si>
    <t>To Format the "Manufacturing Date" column to display dates in the "DD-MM-YYYY " format.I have used the formula =DATE(2024,MONTH(DATEVALUE(LEFT(C3,3)&amp;" 1")),VALUE(MID(C3,5,LEN(C3)-4))) and given the datas</t>
  </si>
  <si>
    <t>Conditional Formatting: To apply the data bar or color scales conditional formatting I have selected the Condition formatting Icon and I have choosed the Data Bars and fill the color which I feel convinent.</t>
  </si>
  <si>
    <t>To highlights the cells in Category column I have used the conditional formatting icon -&gt;new rule -&gt; Use a formula to determine which cells to format-&gt;=I2="Electronics"-&gt;format and selected the color option and formatted Electronics as a highlighted text.</t>
  </si>
  <si>
    <t>Dell Laptop</t>
  </si>
  <si>
    <t>Nike Sneakers</t>
  </si>
  <si>
    <t>Keurig Coffee Maker</t>
  </si>
  <si>
    <t>Samsung Smart Phone</t>
  </si>
  <si>
    <t>North Face Backpack</t>
  </si>
  <si>
    <t>Sony Headphones</t>
  </si>
  <si>
    <t>Adidas T-shirt</t>
  </si>
  <si>
    <t>Ninja Blender</t>
  </si>
  <si>
    <t>Apple Tablet</t>
  </si>
  <si>
    <t>Timberland Hiking Boots</t>
  </si>
  <si>
    <t>HP Laptop</t>
  </si>
  <si>
    <t>Adidas Sneakers</t>
  </si>
  <si>
    <t>Nespresso Coffee Maker</t>
  </si>
  <si>
    <t>Fitbit Smart Watch</t>
  </si>
  <si>
    <t>Bose Headphones</t>
  </si>
  <si>
    <t>Samsonite Laptop Bag</t>
  </si>
  <si>
    <t>Huawei Smart Watch</t>
  </si>
  <si>
    <t>Asus Laptop</t>
  </si>
  <si>
    <t>Oakley Sunglasses</t>
  </si>
  <si>
    <t>Coleman Camping Tent</t>
  </si>
  <si>
    <t>Nikon Camera</t>
  </si>
  <si>
    <t>Panasonic Microwave</t>
  </si>
  <si>
    <t>Xiaomi Fitness Tracker</t>
  </si>
  <si>
    <t>Google Smart Phone</t>
  </si>
  <si>
    <t>Ray-Ban Sunglasses</t>
  </si>
  <si>
    <t>Vitamix Blender</t>
  </si>
  <si>
    <t>Zara Dress</t>
  </si>
  <si>
    <t>Hamilton Toaster</t>
  </si>
  <si>
    <t>Garmin Fitness Tracker</t>
  </si>
  <si>
    <t>Levi's Jeans</t>
  </si>
  <si>
    <t>Casio Watch</t>
  </si>
  <si>
    <r>
      <t xml:space="preserve">In the given dataset I have changed the </t>
    </r>
    <r>
      <rPr>
        <sz val="12"/>
        <color rgb="FFFF0000"/>
        <rFont val="Arial"/>
        <family val="2"/>
        <scheme val="minor"/>
      </rPr>
      <t>Smartphone</t>
    </r>
    <r>
      <rPr>
        <sz val="12"/>
        <color rgb="FF000000"/>
        <rFont val="Arial"/>
        <family val="2"/>
        <scheme val="minor"/>
      </rPr>
      <t xml:space="preserve"> into </t>
    </r>
    <r>
      <rPr>
        <sz val="12"/>
        <color rgb="FFFF0000"/>
        <rFont val="Arial"/>
        <family val="2"/>
        <scheme val="minor"/>
      </rPr>
      <t>Smart Phone</t>
    </r>
    <r>
      <rPr>
        <sz val="12"/>
        <color rgb="FF000000"/>
        <rFont val="Arial"/>
        <family val="2"/>
        <scheme val="minor"/>
      </rPr>
      <t xml:space="preserve"> and </t>
    </r>
    <r>
      <rPr>
        <sz val="12"/>
        <color rgb="FFFF0000"/>
        <rFont val="Arial"/>
        <family val="2"/>
        <scheme val="minor"/>
      </rPr>
      <t>Smartwatch</t>
    </r>
    <r>
      <rPr>
        <sz val="12"/>
        <color rgb="FF000000"/>
        <rFont val="Arial"/>
        <family val="2"/>
        <scheme val="minor"/>
      </rPr>
      <t xml:space="preserve"> into </t>
    </r>
    <r>
      <rPr>
        <sz val="12"/>
        <color rgb="FFFF0000"/>
        <rFont val="Arial"/>
        <family val="2"/>
        <scheme val="minor"/>
      </rPr>
      <t>Smart Watch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</si>
</sst>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009]#,##0"/>
  </numFmts>
  <fonts count="11" x14ac:knownFonts="1">
    <font>
      <sz val="10"/>
      <color rgb="FF000000"/>
      <name val="Arial"/>
      <scheme val="minor"/>
    </font>
    <font>
      <b/>
      <sz val="10"/>
      <color theme="1"/>
      <name val="Arial"/>
    </font>
    <font>
      <sz val="10"/>
      <color theme="1"/>
      <name val="Arial"/>
    </font>
    <font>
      <b/>
      <u/>
      <sz val="14"/>
      <color rgb="FF000000"/>
      <name val="Arial"/>
      <family val="2"/>
      <scheme val="minor"/>
    </font>
    <font>
      <sz val="11"/>
      <color rgb="FF000000"/>
      <name val="Arial"/>
      <family val="2"/>
      <scheme val="minor"/>
    </font>
    <font>
      <sz val="14"/>
      <color rgb="FF000000"/>
      <name val="Arial"/>
      <family val="2"/>
      <scheme val="minor"/>
    </font>
    <font>
      <sz val="10"/>
      <color theme="1"/>
      <name val="Arial"/>
      <family val="2"/>
    </font>
    <font>
      <sz val="10"/>
      <color rgb="FFFF0000"/>
      <name val="Arial"/>
      <family val="2"/>
    </font>
    <font>
      <b/>
      <sz val="10"/>
      <color theme="1"/>
      <name val="Arial"/>
      <family val="2"/>
    </font>
    <font>
      <sz val="12"/>
      <color rgb="FF000000"/>
      <name val="Arial"/>
      <family val="2"/>
      <scheme val="minor"/>
    </font>
    <font>
      <sz val="12"/>
      <color rgb="FFFF0000"/>
      <name val="Arial"/>
      <family val="2"/>
      <scheme val="minor"/>
    </font>
  </fonts>
  <fills count="5">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2" borderId="0" xfId="0" applyFont="1" applyFill="1" applyAlignment="1">
      <alignment horizontal="center"/>
    </xf>
    <xf numFmtId="0" fontId="1" fillId="0" borderId="0" xfId="0" applyFont="1" applyAlignment="1">
      <alignment horizontal="center"/>
    </xf>
    <xf numFmtId="0" fontId="2" fillId="0" borderId="0" xfId="0" applyFont="1"/>
    <xf numFmtId="0" fontId="2" fillId="3" borderId="0" xfId="0" applyFont="1" applyFill="1"/>
    <xf numFmtId="0" fontId="2" fillId="4" borderId="0" xfId="0" applyFont="1" applyFill="1"/>
    <xf numFmtId="0" fontId="2" fillId="0" borderId="1" xfId="0" applyFont="1" applyBorder="1"/>
    <xf numFmtId="0" fontId="2" fillId="3" borderId="1" xfId="0" applyFont="1" applyFill="1" applyBorder="1"/>
    <xf numFmtId="0" fontId="1" fillId="2" borderId="1" xfId="0" applyFont="1" applyFill="1" applyBorder="1" applyAlignment="1">
      <alignment horizontal="center"/>
    </xf>
    <xf numFmtId="0" fontId="7" fillId="4" borderId="0" xfId="0" applyFont="1" applyFill="1"/>
    <xf numFmtId="0" fontId="4" fillId="0" borderId="0" xfId="0" applyFont="1" applyAlignment="1">
      <alignment vertical="top" wrapText="1"/>
    </xf>
    <xf numFmtId="0" fontId="0" fillId="0" borderId="0" xfId="0" applyAlignment="1">
      <alignment vertical="top"/>
    </xf>
    <xf numFmtId="0" fontId="8" fillId="2" borderId="1" xfId="0" applyFont="1" applyFill="1" applyBorder="1" applyAlignment="1">
      <alignment horizontal="center"/>
    </xf>
    <xf numFmtId="0" fontId="6" fillId="0" borderId="1" xfId="0" applyFont="1" applyBorder="1"/>
    <xf numFmtId="0" fontId="3" fillId="0" borderId="0" xfId="0" applyFont="1" applyAlignment="1">
      <alignment vertical="top"/>
    </xf>
    <xf numFmtId="166"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66"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6"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66" fontId="0" fillId="0" borderId="0" xfId="0" applyNumberFormat="1"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xf>
    <xf numFmtId="0" fontId="2" fillId="3" borderId="1" xfId="0" applyFont="1" applyFill="1" applyBorder="1" applyAlignment="1">
      <alignment horizontal="center"/>
    </xf>
    <xf numFmtId="0" fontId="0" fillId="0" borderId="0" xfId="0" applyAlignment="1">
      <alignment horizontal="center"/>
    </xf>
    <xf numFmtId="14" fontId="2" fillId="0" borderId="1" xfId="0" applyNumberFormat="1" applyFont="1" applyBorder="1"/>
    <xf numFmtId="14" fontId="2" fillId="3" borderId="1" xfId="0" applyNumberFormat="1" applyFont="1" applyFill="1" applyBorder="1"/>
    <xf numFmtId="14" fontId="0" fillId="0" borderId="0" xfId="0" applyNumberFormat="1"/>
    <xf numFmtId="14" fontId="8" fillId="2" borderId="1" xfId="0" applyNumberFormat="1" applyFont="1" applyFill="1" applyBorder="1" applyAlignment="1">
      <alignment horizontal="center" wrapText="1"/>
    </xf>
    <xf numFmtId="14" fontId="2" fillId="0" borderId="1" xfId="0" applyNumberFormat="1" applyFont="1" applyBorder="1" applyAlignment="1">
      <alignment horizontal="center"/>
    </xf>
    <xf numFmtId="14" fontId="2" fillId="3" borderId="1" xfId="0" applyNumberFormat="1" applyFont="1" applyFill="1" applyBorder="1" applyAlignment="1">
      <alignment horizontal="center"/>
    </xf>
    <xf numFmtId="14" fontId="0" fillId="0" borderId="0" xfId="0" applyNumberFormat="1" applyAlignment="1">
      <alignment horizontal="center"/>
    </xf>
    <xf numFmtId="0" fontId="5" fillId="0" borderId="0" xfId="0" applyFont="1" applyAlignment="1">
      <alignment horizontal="center" vertical="top"/>
    </xf>
    <xf numFmtId="0" fontId="9" fillId="0" borderId="0" xfId="0" applyFont="1" applyAlignment="1">
      <alignment vertical="top" wrapText="1"/>
    </xf>
  </cellXfs>
  <cellStyles count="1">
    <cellStyle name="Normal" xfId="0" builtinId="0"/>
  </cellStyles>
  <dxfs count="4">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workbookViewId="0">
      <selection activeCell="C12" sqref="C12"/>
    </sheetView>
  </sheetViews>
  <sheetFormatPr defaultColWidth="12.6640625" defaultRowHeight="15" customHeight="1" x14ac:dyDescent="0.25"/>
  <cols>
    <col min="1" max="1" width="14.44140625" customWidth="1"/>
    <col min="2" max="2" width="21.21875" customWidth="1"/>
    <col min="3" max="3" width="18.5546875" customWidth="1"/>
    <col min="4" max="4" width="15" customWidth="1"/>
    <col min="5" max="5" width="19" customWidth="1"/>
    <col min="6" max="6" width="26.21875" customWidth="1"/>
  </cols>
  <sheetData>
    <row r="1" spans="1:7" ht="15.75" customHeight="1" x14ac:dyDescent="0.25">
      <c r="A1" s="1" t="s">
        <v>0</v>
      </c>
      <c r="B1" s="1" t="s">
        <v>1</v>
      </c>
      <c r="C1" s="1" t="s">
        <v>2</v>
      </c>
      <c r="D1" s="1" t="s">
        <v>3</v>
      </c>
      <c r="E1" s="1" t="s">
        <v>4</v>
      </c>
      <c r="F1" s="1" t="s">
        <v>5</v>
      </c>
      <c r="G1" s="2"/>
    </row>
    <row r="2" spans="1:7" ht="15.75" customHeight="1" x14ac:dyDescent="0.25">
      <c r="A2" s="3" t="s">
        <v>6</v>
      </c>
      <c r="B2" s="3" t="s">
        <v>7</v>
      </c>
      <c r="C2" s="3" t="s">
        <v>8</v>
      </c>
      <c r="D2" s="3">
        <v>1000</v>
      </c>
      <c r="E2" s="3">
        <v>30</v>
      </c>
      <c r="F2" s="3" t="s">
        <v>9</v>
      </c>
      <c r="G2" s="3"/>
    </row>
    <row r="3" spans="1:7" ht="15.75" customHeight="1" x14ac:dyDescent="0.25">
      <c r="A3" s="4" t="s">
        <v>10</v>
      </c>
      <c r="B3" s="4" t="s">
        <v>11</v>
      </c>
      <c r="C3" s="4" t="s">
        <v>12</v>
      </c>
      <c r="D3" s="4">
        <v>80</v>
      </c>
      <c r="E3" s="4">
        <v>15</v>
      </c>
      <c r="F3" s="4" t="s">
        <v>13</v>
      </c>
      <c r="G3" s="3"/>
    </row>
    <row r="4" spans="1:7" ht="15.75" customHeight="1" x14ac:dyDescent="0.25">
      <c r="A4" s="3" t="s">
        <v>14</v>
      </c>
      <c r="B4" s="3" t="s">
        <v>15</v>
      </c>
      <c r="C4" s="3" t="s">
        <v>16</v>
      </c>
      <c r="D4" s="3">
        <v>130</v>
      </c>
      <c r="E4" s="3">
        <v>40</v>
      </c>
      <c r="F4" s="3" t="s">
        <v>17</v>
      </c>
      <c r="G4" s="3"/>
    </row>
    <row r="5" spans="1:7" ht="15.75" customHeight="1" x14ac:dyDescent="0.25">
      <c r="A5" s="4" t="s">
        <v>18</v>
      </c>
      <c r="B5" s="4" t="s">
        <v>19</v>
      </c>
      <c r="C5" s="4" t="s">
        <v>20</v>
      </c>
      <c r="D5" s="4">
        <v>900</v>
      </c>
      <c r="E5" s="4">
        <v>25</v>
      </c>
      <c r="F5" s="4" t="s">
        <v>9</v>
      </c>
      <c r="G5" s="3"/>
    </row>
    <row r="6" spans="1:7" ht="15.75" customHeight="1" x14ac:dyDescent="0.25">
      <c r="A6" s="3" t="s">
        <v>21</v>
      </c>
      <c r="B6" s="3" t="s">
        <v>22</v>
      </c>
      <c r="C6" s="3" t="s">
        <v>23</v>
      </c>
      <c r="D6" s="3">
        <v>70</v>
      </c>
      <c r="E6" s="3">
        <v>20</v>
      </c>
      <c r="F6" s="3" t="s">
        <v>24</v>
      </c>
      <c r="G6" s="3"/>
    </row>
    <row r="7" spans="1:7" ht="15.75" customHeight="1" x14ac:dyDescent="0.25">
      <c r="A7" s="4" t="s">
        <v>25</v>
      </c>
      <c r="B7" s="4" t="s">
        <v>26</v>
      </c>
      <c r="C7" s="4" t="s">
        <v>27</v>
      </c>
      <c r="D7" s="4">
        <v>200</v>
      </c>
      <c r="E7" s="4">
        <v>45</v>
      </c>
      <c r="F7" s="4" t="s">
        <v>9</v>
      </c>
      <c r="G7" s="3"/>
    </row>
    <row r="8" spans="1:7" ht="15.75" customHeight="1" x14ac:dyDescent="0.25">
      <c r="A8" s="3" t="s">
        <v>28</v>
      </c>
      <c r="B8" s="3" t="s">
        <v>29</v>
      </c>
      <c r="C8" s="3" t="s">
        <v>30</v>
      </c>
      <c r="D8" s="3">
        <v>30</v>
      </c>
      <c r="E8" s="3">
        <v>5</v>
      </c>
      <c r="F8" s="3" t="s">
        <v>13</v>
      </c>
      <c r="G8" s="3"/>
    </row>
    <row r="9" spans="1:7" ht="15.75" customHeight="1" x14ac:dyDescent="0.25">
      <c r="A9" s="4" t="s">
        <v>31</v>
      </c>
      <c r="B9" s="4" t="s">
        <v>32</v>
      </c>
      <c r="C9" s="4" t="s">
        <v>33</v>
      </c>
      <c r="D9" s="4">
        <v>90</v>
      </c>
      <c r="E9" s="4">
        <v>35</v>
      </c>
      <c r="F9" s="4" t="s">
        <v>17</v>
      </c>
      <c r="G9" s="3"/>
    </row>
    <row r="10" spans="1:7" ht="15.75" customHeight="1" x14ac:dyDescent="0.25">
      <c r="A10" s="3" t="s">
        <v>34</v>
      </c>
      <c r="B10" s="3" t="s">
        <v>35</v>
      </c>
      <c r="C10" s="3" t="s">
        <v>36</v>
      </c>
      <c r="D10" s="3">
        <v>500</v>
      </c>
      <c r="E10" s="3">
        <v>50</v>
      </c>
      <c r="F10" s="3" t="s">
        <v>9</v>
      </c>
      <c r="G10" s="3"/>
    </row>
    <row r="11" spans="1:7" ht="15.75" customHeight="1" x14ac:dyDescent="0.25">
      <c r="A11" s="4" t="s">
        <v>37</v>
      </c>
      <c r="B11" s="4" t="s">
        <v>38</v>
      </c>
      <c r="C11" s="4" t="s">
        <v>39</v>
      </c>
      <c r="D11" s="4">
        <v>130</v>
      </c>
      <c r="E11" s="4">
        <v>10</v>
      </c>
      <c r="F11" s="4" t="s">
        <v>24</v>
      </c>
      <c r="G11" s="3"/>
    </row>
    <row r="12" spans="1:7" ht="15.75" customHeight="1" x14ac:dyDescent="0.25">
      <c r="A12" s="3" t="s">
        <v>40</v>
      </c>
      <c r="B12" s="3" t="s">
        <v>7</v>
      </c>
      <c r="C12" s="3" t="s">
        <v>41</v>
      </c>
      <c r="D12" s="3">
        <v>950</v>
      </c>
      <c r="E12" s="3">
        <v>25</v>
      </c>
      <c r="F12" s="3" t="s">
        <v>9</v>
      </c>
      <c r="G12" s="3"/>
    </row>
    <row r="13" spans="1:7" ht="15.75" customHeight="1" x14ac:dyDescent="0.25">
      <c r="A13" s="4" t="s">
        <v>42</v>
      </c>
      <c r="B13" s="4" t="s">
        <v>11</v>
      </c>
      <c r="C13" s="4" t="s">
        <v>30</v>
      </c>
      <c r="D13" s="4">
        <v>90</v>
      </c>
      <c r="E13" s="4">
        <v>40</v>
      </c>
      <c r="F13" s="4" t="s">
        <v>13</v>
      </c>
      <c r="G13" s="3"/>
    </row>
    <row r="14" spans="1:7" ht="15.75" customHeight="1" x14ac:dyDescent="0.25">
      <c r="A14" s="3" t="s">
        <v>43</v>
      </c>
      <c r="B14" s="3" t="s">
        <v>15</v>
      </c>
      <c r="C14" s="3" t="s">
        <v>44</v>
      </c>
      <c r="D14" s="3">
        <v>120</v>
      </c>
      <c r="E14" s="3">
        <v>35</v>
      </c>
      <c r="F14" s="3" t="s">
        <v>17</v>
      </c>
      <c r="G14" s="3"/>
    </row>
    <row r="15" spans="1:7" ht="15.75" customHeight="1" x14ac:dyDescent="0.25">
      <c r="A15" s="4" t="s">
        <v>45</v>
      </c>
      <c r="B15" s="4" t="s">
        <v>46</v>
      </c>
      <c r="C15" s="4" t="s">
        <v>47</v>
      </c>
      <c r="D15" s="4">
        <v>150</v>
      </c>
      <c r="E15" s="4">
        <v>15</v>
      </c>
      <c r="F15" s="4" t="s">
        <v>9</v>
      </c>
      <c r="G15" s="3"/>
    </row>
    <row r="16" spans="1:7" ht="15.75" customHeight="1" x14ac:dyDescent="0.25">
      <c r="A16" s="3" t="s">
        <v>48</v>
      </c>
      <c r="B16" s="3" t="s">
        <v>26</v>
      </c>
      <c r="C16" s="3" t="s">
        <v>49</v>
      </c>
      <c r="D16" s="3">
        <v>250</v>
      </c>
      <c r="E16" s="3">
        <v>20</v>
      </c>
      <c r="F16" s="3" t="s">
        <v>9</v>
      </c>
      <c r="G16" s="3"/>
    </row>
    <row r="17" spans="1:7" ht="15.75" customHeight="1" x14ac:dyDescent="0.25">
      <c r="A17" s="4" t="s">
        <v>50</v>
      </c>
      <c r="B17" s="4" t="s">
        <v>51</v>
      </c>
      <c r="C17" s="4" t="s">
        <v>52</v>
      </c>
      <c r="D17" s="4">
        <v>50</v>
      </c>
      <c r="E17" s="4">
        <v>35</v>
      </c>
      <c r="F17" s="4" t="s">
        <v>53</v>
      </c>
      <c r="G17" s="3"/>
    </row>
    <row r="18" spans="1:7" ht="15.75" customHeight="1" x14ac:dyDescent="0.25">
      <c r="A18" s="3" t="s">
        <v>54</v>
      </c>
      <c r="B18" s="3" t="s">
        <v>46</v>
      </c>
      <c r="C18" s="3" t="s">
        <v>55</v>
      </c>
      <c r="D18" s="3">
        <v>160</v>
      </c>
      <c r="E18" s="3">
        <v>15</v>
      </c>
      <c r="F18" s="3" t="s">
        <v>9</v>
      </c>
      <c r="G18" s="3"/>
    </row>
    <row r="19" spans="1:7" ht="15.75" customHeight="1" x14ac:dyDescent="0.25">
      <c r="A19" s="4" t="s">
        <v>56</v>
      </c>
      <c r="B19" s="4" t="s">
        <v>7</v>
      </c>
      <c r="C19" s="4" t="s">
        <v>57</v>
      </c>
      <c r="D19" s="4">
        <v>980</v>
      </c>
      <c r="E19" s="4">
        <v>10</v>
      </c>
      <c r="F19" s="4" t="s">
        <v>9</v>
      </c>
      <c r="G19" s="3"/>
    </row>
    <row r="20" spans="1:7" ht="15.75" customHeight="1" x14ac:dyDescent="0.25">
      <c r="A20" s="3" t="s">
        <v>58</v>
      </c>
      <c r="B20" s="3" t="s">
        <v>59</v>
      </c>
      <c r="C20" s="3" t="s">
        <v>60</v>
      </c>
      <c r="D20" s="3">
        <v>150</v>
      </c>
      <c r="E20" s="3">
        <v>15</v>
      </c>
      <c r="F20" s="3" t="s">
        <v>13</v>
      </c>
      <c r="G20" s="3"/>
    </row>
    <row r="21" spans="1:7" ht="15.75" customHeight="1" x14ac:dyDescent="0.25">
      <c r="A21" s="4" t="s">
        <v>61</v>
      </c>
      <c r="B21" s="4" t="s">
        <v>62</v>
      </c>
      <c r="C21" s="4" t="s">
        <v>63</v>
      </c>
      <c r="D21" s="4">
        <v>200</v>
      </c>
      <c r="E21" s="4">
        <v>10</v>
      </c>
      <c r="F21" s="4" t="s">
        <v>24</v>
      </c>
      <c r="G21" s="3"/>
    </row>
    <row r="22" spans="1:7" ht="15.75" customHeight="1" x14ac:dyDescent="0.25">
      <c r="A22" s="3" t="s">
        <v>64</v>
      </c>
      <c r="B22" s="3" t="s">
        <v>65</v>
      </c>
      <c r="C22" s="3" t="s">
        <v>66</v>
      </c>
      <c r="D22" s="3">
        <v>700</v>
      </c>
      <c r="E22" s="3">
        <v>50</v>
      </c>
      <c r="F22" s="3" t="s">
        <v>9</v>
      </c>
      <c r="G22" s="3"/>
    </row>
    <row r="23" spans="1:7" ht="15.75" customHeight="1" x14ac:dyDescent="0.25">
      <c r="A23" s="4" t="s">
        <v>67</v>
      </c>
      <c r="B23" s="4" t="s">
        <v>68</v>
      </c>
      <c r="C23" s="4" t="s">
        <v>69</v>
      </c>
      <c r="D23" s="4">
        <v>80</v>
      </c>
      <c r="E23" s="4">
        <v>20</v>
      </c>
      <c r="F23" s="4" t="s">
        <v>17</v>
      </c>
      <c r="G23" s="3"/>
    </row>
    <row r="24" spans="1:7" ht="15.75" customHeight="1" x14ac:dyDescent="0.25">
      <c r="A24" s="3" t="s">
        <v>70</v>
      </c>
      <c r="B24" s="3" t="s">
        <v>71</v>
      </c>
      <c r="C24" s="3" t="s">
        <v>72</v>
      </c>
      <c r="D24" s="3">
        <v>150</v>
      </c>
      <c r="E24" s="3">
        <v>30</v>
      </c>
      <c r="F24" s="3" t="s">
        <v>9</v>
      </c>
      <c r="G24" s="3"/>
    </row>
    <row r="25" spans="1:7" ht="15.75" customHeight="1" x14ac:dyDescent="0.25">
      <c r="A25" s="4" t="s">
        <v>50</v>
      </c>
      <c r="B25" s="4" t="s">
        <v>51</v>
      </c>
      <c r="C25" s="4" t="s">
        <v>52</v>
      </c>
      <c r="D25" s="4">
        <v>50</v>
      </c>
      <c r="E25" s="4">
        <v>35</v>
      </c>
      <c r="F25" s="4" t="s">
        <v>53</v>
      </c>
      <c r="G25" s="5"/>
    </row>
    <row r="26" spans="1:7" ht="15.75" customHeight="1" x14ac:dyDescent="0.25">
      <c r="A26" s="3" t="s">
        <v>73</v>
      </c>
      <c r="B26" s="3" t="s">
        <v>19</v>
      </c>
      <c r="C26" s="3" t="s">
        <v>74</v>
      </c>
      <c r="D26" s="3">
        <v>800</v>
      </c>
      <c r="E26" s="3">
        <v>45</v>
      </c>
      <c r="F26" s="3" t="s">
        <v>9</v>
      </c>
      <c r="G26" s="3"/>
    </row>
    <row r="27" spans="1:7" ht="15.75" customHeight="1" x14ac:dyDescent="0.25">
      <c r="A27" s="4" t="s">
        <v>75</v>
      </c>
      <c r="B27" s="4" t="s">
        <v>59</v>
      </c>
      <c r="C27" s="4" t="s">
        <v>76</v>
      </c>
      <c r="D27" s="4">
        <v>130</v>
      </c>
      <c r="E27" s="4">
        <v>25</v>
      </c>
      <c r="F27" s="4" t="s">
        <v>13</v>
      </c>
      <c r="G27" s="3"/>
    </row>
    <row r="28" spans="1:7" ht="15.75" customHeight="1" x14ac:dyDescent="0.25">
      <c r="A28" s="3" t="s">
        <v>77</v>
      </c>
      <c r="B28" s="3" t="s">
        <v>32</v>
      </c>
      <c r="C28" s="3" t="s">
        <v>78</v>
      </c>
      <c r="D28" s="3">
        <v>400</v>
      </c>
      <c r="E28" s="3">
        <v>40</v>
      </c>
      <c r="F28" s="3" t="s">
        <v>17</v>
      </c>
      <c r="G28" s="3"/>
    </row>
    <row r="29" spans="1:7" ht="15.75" customHeight="1" x14ac:dyDescent="0.25">
      <c r="A29" s="4" t="s">
        <v>48</v>
      </c>
      <c r="B29" s="4" t="s">
        <v>26</v>
      </c>
      <c r="C29" s="4" t="s">
        <v>49</v>
      </c>
      <c r="D29" s="4">
        <v>230</v>
      </c>
      <c r="E29" s="4">
        <v>20</v>
      </c>
      <c r="F29" s="4" t="s">
        <v>9</v>
      </c>
      <c r="G29" s="5"/>
    </row>
    <row r="30" spans="1:7" ht="15.75" customHeight="1" x14ac:dyDescent="0.25">
      <c r="A30" s="3" t="s">
        <v>79</v>
      </c>
      <c r="B30" s="3" t="s">
        <v>80</v>
      </c>
      <c r="C30" s="3" t="s">
        <v>81</v>
      </c>
      <c r="D30" s="3">
        <v>60</v>
      </c>
      <c r="E30" s="3">
        <v>30</v>
      </c>
      <c r="F30" s="3" t="s">
        <v>13</v>
      </c>
      <c r="G30" s="3"/>
    </row>
    <row r="31" spans="1:7" ht="15.75" customHeight="1" x14ac:dyDescent="0.25">
      <c r="A31" s="4" t="s">
        <v>82</v>
      </c>
      <c r="B31" s="4" t="s">
        <v>83</v>
      </c>
      <c r="C31" s="4" t="s">
        <v>84</v>
      </c>
      <c r="D31" s="4">
        <v>40</v>
      </c>
      <c r="E31" s="4">
        <v>10</v>
      </c>
      <c r="F31" s="4" t="s">
        <v>17</v>
      </c>
      <c r="G31" s="3"/>
    </row>
    <row r="32" spans="1:7" ht="15.75" customHeight="1" x14ac:dyDescent="0.25">
      <c r="A32" s="3" t="s">
        <v>85</v>
      </c>
      <c r="B32" s="3" t="s">
        <v>71</v>
      </c>
      <c r="C32" s="3" t="s">
        <v>86</v>
      </c>
      <c r="D32" s="3">
        <v>130</v>
      </c>
      <c r="E32" s="3">
        <v>5</v>
      </c>
      <c r="F32" s="3" t="s">
        <v>9</v>
      </c>
      <c r="G32" s="3"/>
    </row>
    <row r="33" spans="1:7" ht="15.75" customHeight="1" x14ac:dyDescent="0.25">
      <c r="A33" s="4" t="s">
        <v>87</v>
      </c>
      <c r="B33" s="4" t="s">
        <v>88</v>
      </c>
      <c r="C33" s="4" t="s">
        <v>89</v>
      </c>
      <c r="D33" s="4">
        <v>50</v>
      </c>
      <c r="E33" s="4">
        <v>50</v>
      </c>
      <c r="F33" s="4" t="s">
        <v>13</v>
      </c>
      <c r="G33" s="3"/>
    </row>
    <row r="34" spans="1:7" ht="15.75" customHeight="1" x14ac:dyDescent="0.25">
      <c r="A34" s="3" t="s">
        <v>40</v>
      </c>
      <c r="B34" s="3" t="s">
        <v>7</v>
      </c>
      <c r="C34" s="3" t="s">
        <v>41</v>
      </c>
      <c r="D34" s="3">
        <v>950</v>
      </c>
      <c r="E34" s="3">
        <v>25</v>
      </c>
      <c r="F34" s="3" t="s">
        <v>9</v>
      </c>
      <c r="G34" s="3"/>
    </row>
    <row r="35" spans="1:7" ht="15.75" customHeight="1" x14ac:dyDescent="0.25">
      <c r="A35" s="4" t="s">
        <v>90</v>
      </c>
      <c r="B35" s="4" t="s">
        <v>91</v>
      </c>
      <c r="C35" s="4" t="s">
        <v>92</v>
      </c>
      <c r="D35" s="4">
        <v>100</v>
      </c>
      <c r="E35" s="4">
        <v>20</v>
      </c>
      <c r="F35" s="4" t="s">
        <v>53</v>
      </c>
      <c r="G35" s="3"/>
    </row>
    <row r="36" spans="1:7" ht="15.75" customHeight="1" x14ac:dyDescent="0.25"/>
    <row r="37" spans="1:7" ht="15.75" customHeight="1" x14ac:dyDescent="0.25"/>
    <row r="38" spans="1:7" ht="15.75" customHeight="1" x14ac:dyDescent="0.25"/>
    <row r="39" spans="1:7" ht="15.75" customHeight="1" x14ac:dyDescent="0.25"/>
    <row r="40" spans="1:7" ht="15.75" customHeight="1" x14ac:dyDescent="0.25"/>
    <row r="41" spans="1:7" ht="15.75" customHeight="1" x14ac:dyDescent="0.25"/>
    <row r="42" spans="1:7" ht="15.75" customHeight="1" x14ac:dyDescent="0.25"/>
    <row r="43" spans="1:7" ht="15.75" customHeight="1" x14ac:dyDescent="0.25"/>
    <row r="44" spans="1:7" ht="15.75" customHeight="1" x14ac:dyDescent="0.25"/>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9B3CA-67A9-4F36-A657-A925A7D10070}">
  <dimension ref="A1:L35"/>
  <sheetViews>
    <sheetView workbookViewId="0">
      <selection activeCell="A31" sqref="A1:XFD1048576"/>
    </sheetView>
  </sheetViews>
  <sheetFormatPr defaultColWidth="20.44140625" defaultRowHeight="28.8" customHeight="1" x14ac:dyDescent="0.25"/>
  <cols>
    <col min="1" max="1" width="13.44140625" customWidth="1"/>
    <col min="2" max="2" width="11.44140625" customWidth="1"/>
    <col min="3" max="3" width="16.77734375" style="28" customWidth="1"/>
    <col min="4" max="4" width="17.109375" style="28" customWidth="1"/>
    <col min="5" max="5" width="16.88671875" style="25" customWidth="1"/>
    <col min="6" max="6" width="15.88671875" customWidth="1"/>
    <col min="7" max="7" width="15.77734375" customWidth="1"/>
    <col min="8" max="8" width="22.77734375" customWidth="1"/>
    <col min="9" max="9" width="16" customWidth="1"/>
    <col min="10" max="10" width="16.88671875" style="21" customWidth="1"/>
    <col min="11" max="11" width="13.6640625" style="22" customWidth="1"/>
  </cols>
  <sheetData>
    <row r="1" spans="1:12" ht="28.8" customHeight="1" x14ac:dyDescent="0.25">
      <c r="A1" s="8" t="s">
        <v>0</v>
      </c>
      <c r="B1" s="12"/>
      <c r="C1" s="29" t="s">
        <v>101</v>
      </c>
      <c r="D1" s="29" t="s">
        <v>101</v>
      </c>
      <c r="E1" s="12" t="s">
        <v>102</v>
      </c>
      <c r="F1" s="8" t="s">
        <v>1</v>
      </c>
      <c r="G1" s="8" t="s">
        <v>2</v>
      </c>
      <c r="H1" s="8" t="s">
        <v>103</v>
      </c>
      <c r="I1" s="8" t="s">
        <v>5</v>
      </c>
      <c r="J1" s="15" t="s">
        <v>3</v>
      </c>
      <c r="K1" s="16" t="s">
        <v>4</v>
      </c>
      <c r="L1" s="2"/>
    </row>
    <row r="2" spans="1:12" ht="28.8" customHeight="1" x14ac:dyDescent="0.25">
      <c r="A2" s="13">
        <v>28</v>
      </c>
      <c r="B2" s="6" t="s">
        <v>104</v>
      </c>
      <c r="C2" s="26" t="str">
        <f>B2&amp;"-"&amp;A2</f>
        <v>JAN-28</v>
      </c>
      <c r="D2" s="26">
        <f>DATE(2024,MONTH(DATEVALUE(LEFT(C2,3)&amp;" 1")),VALUE(MID(C2,5,LEN(C2)-4)))</f>
        <v>45319</v>
      </c>
      <c r="E2" s="23" t="s">
        <v>105</v>
      </c>
      <c r="F2" s="6" t="s">
        <v>7</v>
      </c>
      <c r="G2" s="6" t="s">
        <v>8</v>
      </c>
      <c r="H2" s="6" t="str">
        <f>CONCATENATE(G2," ",F2)</f>
        <v>Dell Laptop</v>
      </c>
      <c r="I2" s="6" t="s">
        <v>9</v>
      </c>
      <c r="J2" s="17">
        <v>1000</v>
      </c>
      <c r="K2" s="18">
        <v>30</v>
      </c>
      <c r="L2" s="3"/>
    </row>
    <row r="3" spans="1:12" ht="28.8" customHeight="1" x14ac:dyDescent="0.25">
      <c r="A3" s="7">
        <v>15</v>
      </c>
      <c r="B3" s="7" t="s">
        <v>106</v>
      </c>
      <c r="C3" s="27" t="str">
        <f t="shared" ref="C3:C32" si="0">B3&amp;"-"&amp;A3</f>
        <v>FEB-15</v>
      </c>
      <c r="D3" s="27">
        <f>DATE(2024,MONTH(DATEVALUE(LEFT(C3,3)&amp;" 1")),VALUE(MID(C3,5,LEN(C3)-4)))</f>
        <v>45337</v>
      </c>
      <c r="E3" s="24" t="s">
        <v>105</v>
      </c>
      <c r="F3" s="7" t="s">
        <v>11</v>
      </c>
      <c r="G3" s="7" t="s">
        <v>12</v>
      </c>
      <c r="H3" s="7" t="str">
        <f t="shared" ref="H3:H32" si="1">CONCATENATE(G3," ",F3)</f>
        <v>Nike Sneakers</v>
      </c>
      <c r="I3" s="7" t="s">
        <v>13</v>
      </c>
      <c r="J3" s="19">
        <v>80</v>
      </c>
      <c r="K3" s="20">
        <v>15</v>
      </c>
      <c r="L3" s="3"/>
    </row>
    <row r="4" spans="1:12" ht="28.8" customHeight="1" x14ac:dyDescent="0.25">
      <c r="A4" s="6">
        <v>3</v>
      </c>
      <c r="B4" s="6" t="s">
        <v>107</v>
      </c>
      <c r="C4" s="26" t="str">
        <f>B4&amp;"-"&amp;A4</f>
        <v>MAR-3</v>
      </c>
      <c r="D4" s="26">
        <f>DATE(2024,MONTH(DATEVALUE(LEFT(C4,3)&amp;" 1")),VALUE(MID(C4,5,LEN(C4)-4)))</f>
        <v>45354</v>
      </c>
      <c r="E4" s="23" t="s">
        <v>105</v>
      </c>
      <c r="F4" s="6" t="s">
        <v>15</v>
      </c>
      <c r="G4" s="6" t="s">
        <v>16</v>
      </c>
      <c r="H4" s="6" t="str">
        <f t="shared" si="1"/>
        <v>Keurig Coffee Maker</v>
      </c>
      <c r="I4" s="6" t="s">
        <v>17</v>
      </c>
      <c r="J4" s="17">
        <v>130</v>
      </c>
      <c r="K4" s="18">
        <v>40</v>
      </c>
      <c r="L4" s="3"/>
    </row>
    <row r="5" spans="1:12" ht="28.8" customHeight="1" x14ac:dyDescent="0.25">
      <c r="A5" s="7">
        <v>11</v>
      </c>
      <c r="B5" s="7" t="s">
        <v>108</v>
      </c>
      <c r="C5" s="27" t="str">
        <f t="shared" si="0"/>
        <v>APR-11</v>
      </c>
      <c r="D5" s="27">
        <f t="shared" ref="D3:D33" si="2">DATE(2024,MONTH(DATEVALUE(LEFT(C5,3)&amp;" 1")),VALUE(MID(C5,5,LEN(C5)-4)))</f>
        <v>45393</v>
      </c>
      <c r="E5" s="24" t="s">
        <v>105</v>
      </c>
      <c r="F5" s="7" t="s">
        <v>97</v>
      </c>
      <c r="G5" s="7" t="s">
        <v>20</v>
      </c>
      <c r="H5" s="7" t="str">
        <f t="shared" si="1"/>
        <v>Samsung Smart Phone</v>
      </c>
      <c r="I5" s="7" t="s">
        <v>9</v>
      </c>
      <c r="J5" s="19">
        <v>900</v>
      </c>
      <c r="K5" s="20">
        <v>25</v>
      </c>
      <c r="L5" s="3"/>
    </row>
    <row r="6" spans="1:12" ht="28.8" customHeight="1" x14ac:dyDescent="0.25">
      <c r="A6" s="6">
        <v>22</v>
      </c>
      <c r="B6" s="6" t="s">
        <v>109</v>
      </c>
      <c r="C6" s="26" t="str">
        <f t="shared" si="0"/>
        <v>MAY-22</v>
      </c>
      <c r="D6" s="26">
        <f t="shared" si="2"/>
        <v>45434</v>
      </c>
      <c r="E6" s="23" t="s">
        <v>105</v>
      </c>
      <c r="F6" s="6" t="s">
        <v>22</v>
      </c>
      <c r="G6" s="6" t="s">
        <v>23</v>
      </c>
      <c r="H6" s="6" t="str">
        <f t="shared" si="1"/>
        <v>North Face Backpack</v>
      </c>
      <c r="I6" s="6" t="s">
        <v>24</v>
      </c>
      <c r="J6" s="17">
        <v>70</v>
      </c>
      <c r="K6" s="18">
        <v>20</v>
      </c>
      <c r="L6" s="3"/>
    </row>
    <row r="7" spans="1:12" ht="28.8" customHeight="1" x14ac:dyDescent="0.25">
      <c r="A7" s="7">
        <v>7</v>
      </c>
      <c r="B7" s="7" t="s">
        <v>110</v>
      </c>
      <c r="C7" s="27" t="str">
        <f t="shared" si="0"/>
        <v>JUN-7</v>
      </c>
      <c r="D7" s="27">
        <f t="shared" si="2"/>
        <v>45450</v>
      </c>
      <c r="E7" s="24" t="s">
        <v>111</v>
      </c>
      <c r="F7" s="7" t="s">
        <v>26</v>
      </c>
      <c r="G7" s="7" t="s">
        <v>27</v>
      </c>
      <c r="H7" s="7" t="str">
        <f t="shared" si="1"/>
        <v>Sony Headphones</v>
      </c>
      <c r="I7" s="7" t="s">
        <v>9</v>
      </c>
      <c r="J7" s="19">
        <v>200</v>
      </c>
      <c r="K7" s="20">
        <v>45</v>
      </c>
      <c r="L7" s="3"/>
    </row>
    <row r="8" spans="1:12" ht="28.8" customHeight="1" x14ac:dyDescent="0.25">
      <c r="A8" s="6">
        <v>19</v>
      </c>
      <c r="B8" s="6" t="s">
        <v>112</v>
      </c>
      <c r="C8" s="26" t="str">
        <f t="shared" si="0"/>
        <v>JUL-19</v>
      </c>
      <c r="D8" s="26">
        <f t="shared" si="2"/>
        <v>45492</v>
      </c>
      <c r="E8" s="23" t="s">
        <v>111</v>
      </c>
      <c r="F8" s="6" t="s">
        <v>29</v>
      </c>
      <c r="G8" s="6" t="s">
        <v>30</v>
      </c>
      <c r="H8" s="6" t="str">
        <f t="shared" si="1"/>
        <v>Adidas T-shirt</v>
      </c>
      <c r="I8" s="6" t="s">
        <v>13</v>
      </c>
      <c r="J8" s="17">
        <v>30</v>
      </c>
      <c r="K8" s="18">
        <v>5</v>
      </c>
      <c r="L8" s="3"/>
    </row>
    <row r="9" spans="1:12" ht="28.8" customHeight="1" x14ac:dyDescent="0.25">
      <c r="A9" s="7">
        <v>23</v>
      </c>
      <c r="B9" s="7" t="s">
        <v>113</v>
      </c>
      <c r="C9" s="27" t="str">
        <f t="shared" si="0"/>
        <v>AUG-23</v>
      </c>
      <c r="D9" s="27">
        <f t="shared" si="2"/>
        <v>45527</v>
      </c>
      <c r="E9" s="24" t="s">
        <v>111</v>
      </c>
      <c r="F9" s="7" t="s">
        <v>32</v>
      </c>
      <c r="G9" s="7" t="s">
        <v>33</v>
      </c>
      <c r="H9" s="7" t="str">
        <f t="shared" si="1"/>
        <v>Ninja Blender</v>
      </c>
      <c r="I9" s="7" t="s">
        <v>17</v>
      </c>
      <c r="J9" s="19">
        <v>90</v>
      </c>
      <c r="K9" s="20">
        <v>35</v>
      </c>
      <c r="L9" s="3"/>
    </row>
    <row r="10" spans="1:12" ht="28.8" customHeight="1" x14ac:dyDescent="0.25">
      <c r="A10" s="6">
        <v>5</v>
      </c>
      <c r="B10" s="6" t="s">
        <v>114</v>
      </c>
      <c r="C10" s="26" t="str">
        <f t="shared" si="0"/>
        <v>SEP-5</v>
      </c>
      <c r="D10" s="26">
        <f t="shared" si="2"/>
        <v>45540</v>
      </c>
      <c r="E10" s="23" t="s">
        <v>111</v>
      </c>
      <c r="F10" s="6" t="s">
        <v>35</v>
      </c>
      <c r="G10" s="6" t="s">
        <v>36</v>
      </c>
      <c r="H10" s="6" t="str">
        <f t="shared" si="1"/>
        <v>Apple Tablet</v>
      </c>
      <c r="I10" s="6" t="s">
        <v>9</v>
      </c>
      <c r="J10" s="17">
        <v>500</v>
      </c>
      <c r="K10" s="18">
        <v>50</v>
      </c>
      <c r="L10" s="3"/>
    </row>
    <row r="11" spans="1:12" ht="28.8" customHeight="1" x14ac:dyDescent="0.25">
      <c r="A11" s="7">
        <v>14</v>
      </c>
      <c r="B11" s="7" t="s">
        <v>115</v>
      </c>
      <c r="C11" s="27" t="str">
        <f t="shared" si="0"/>
        <v>OCT-14</v>
      </c>
      <c r="D11" s="27">
        <f t="shared" si="2"/>
        <v>45579</v>
      </c>
      <c r="E11" s="24" t="s">
        <v>111</v>
      </c>
      <c r="F11" s="7" t="s">
        <v>38</v>
      </c>
      <c r="G11" s="7" t="s">
        <v>39</v>
      </c>
      <c r="H11" s="7" t="str">
        <f t="shared" si="1"/>
        <v>Timberland Hiking Boots</v>
      </c>
      <c r="I11" s="7" t="s">
        <v>24</v>
      </c>
      <c r="J11" s="19">
        <v>130</v>
      </c>
      <c r="K11" s="20">
        <v>10</v>
      </c>
      <c r="L11" s="3"/>
    </row>
    <row r="12" spans="1:12" ht="28.8" customHeight="1" x14ac:dyDescent="0.25">
      <c r="A12" s="6">
        <v>17</v>
      </c>
      <c r="B12" s="6" t="s">
        <v>110</v>
      </c>
      <c r="C12" s="26" t="str">
        <f t="shared" si="0"/>
        <v>JUN-17</v>
      </c>
      <c r="D12" s="26">
        <f t="shared" si="2"/>
        <v>45460</v>
      </c>
      <c r="E12" s="23" t="s">
        <v>116</v>
      </c>
      <c r="F12" s="6" t="s">
        <v>7</v>
      </c>
      <c r="G12" s="6" t="s">
        <v>41</v>
      </c>
      <c r="H12" s="6" t="str">
        <f t="shared" si="1"/>
        <v>HP Laptop</v>
      </c>
      <c r="I12" s="6" t="s">
        <v>9</v>
      </c>
      <c r="J12" s="17">
        <v>950</v>
      </c>
      <c r="K12" s="18">
        <v>25</v>
      </c>
      <c r="L12" s="3"/>
    </row>
    <row r="13" spans="1:12" ht="28.8" customHeight="1" x14ac:dyDescent="0.25">
      <c r="A13" s="7">
        <v>25</v>
      </c>
      <c r="B13" s="7" t="s">
        <v>117</v>
      </c>
      <c r="C13" s="27" t="str">
        <f t="shared" si="0"/>
        <v>NOV-25</v>
      </c>
      <c r="D13" s="27">
        <f t="shared" si="2"/>
        <v>45621</v>
      </c>
      <c r="E13" s="24" t="s">
        <v>118</v>
      </c>
      <c r="F13" s="7" t="s">
        <v>11</v>
      </c>
      <c r="G13" s="7" t="s">
        <v>30</v>
      </c>
      <c r="H13" s="7" t="str">
        <f t="shared" si="1"/>
        <v>Adidas Sneakers</v>
      </c>
      <c r="I13" s="7" t="s">
        <v>13</v>
      </c>
      <c r="J13" s="19">
        <v>90</v>
      </c>
      <c r="K13" s="20">
        <v>40</v>
      </c>
      <c r="L13" s="3"/>
    </row>
    <row r="14" spans="1:12" ht="28.8" customHeight="1" x14ac:dyDescent="0.25">
      <c r="A14" s="6">
        <v>8</v>
      </c>
      <c r="B14" s="6" t="s">
        <v>119</v>
      </c>
      <c r="C14" s="26" t="str">
        <f t="shared" si="0"/>
        <v>DEC-8</v>
      </c>
      <c r="D14" s="26">
        <f t="shared" si="2"/>
        <v>45634</v>
      </c>
      <c r="E14" s="23" t="s">
        <v>120</v>
      </c>
      <c r="F14" s="6" t="s">
        <v>15</v>
      </c>
      <c r="G14" s="6" t="s">
        <v>44</v>
      </c>
      <c r="H14" s="6" t="str">
        <f t="shared" si="1"/>
        <v>Nespresso Coffee Maker</v>
      </c>
      <c r="I14" s="6" t="s">
        <v>17</v>
      </c>
      <c r="J14" s="17">
        <v>120</v>
      </c>
      <c r="K14" s="18">
        <v>35</v>
      </c>
      <c r="L14" s="3"/>
    </row>
    <row r="15" spans="1:12" ht="28.8" customHeight="1" x14ac:dyDescent="0.25">
      <c r="A15" s="7">
        <v>18</v>
      </c>
      <c r="B15" s="7" t="s">
        <v>106</v>
      </c>
      <c r="C15" s="27" t="str">
        <f t="shared" si="0"/>
        <v>FEB-18</v>
      </c>
      <c r="D15" s="27">
        <f t="shared" si="2"/>
        <v>45340</v>
      </c>
      <c r="E15" s="24" t="s">
        <v>121</v>
      </c>
      <c r="F15" s="7" t="s">
        <v>98</v>
      </c>
      <c r="G15" s="7" t="s">
        <v>47</v>
      </c>
      <c r="H15" s="7" t="str">
        <f t="shared" si="1"/>
        <v>Fitbit Smart Watch</v>
      </c>
      <c r="I15" s="7" t="s">
        <v>9</v>
      </c>
      <c r="J15" s="19">
        <v>150</v>
      </c>
      <c r="K15" s="20">
        <v>15</v>
      </c>
      <c r="L15" s="3"/>
    </row>
    <row r="16" spans="1:12" ht="28.8" customHeight="1" x14ac:dyDescent="0.25">
      <c r="A16" s="6">
        <v>16</v>
      </c>
      <c r="B16" s="6" t="s">
        <v>108</v>
      </c>
      <c r="C16" s="26" t="str">
        <f t="shared" si="0"/>
        <v>APR-16</v>
      </c>
      <c r="D16" s="26">
        <f t="shared" si="2"/>
        <v>45398</v>
      </c>
      <c r="E16" s="23" t="s">
        <v>122</v>
      </c>
      <c r="F16" s="6" t="s">
        <v>26</v>
      </c>
      <c r="G16" s="6" t="s">
        <v>49</v>
      </c>
      <c r="H16" s="6" t="str">
        <f t="shared" si="1"/>
        <v>Bose Headphones</v>
      </c>
      <c r="I16" s="6" t="s">
        <v>9</v>
      </c>
      <c r="J16" s="17">
        <v>250</v>
      </c>
      <c r="K16" s="18">
        <v>20</v>
      </c>
      <c r="L16" s="3"/>
    </row>
    <row r="17" spans="1:12" ht="28.8" customHeight="1" x14ac:dyDescent="0.25">
      <c r="A17" s="7">
        <v>21</v>
      </c>
      <c r="B17" s="7" t="s">
        <v>113</v>
      </c>
      <c r="C17" s="27" t="str">
        <f t="shared" si="0"/>
        <v>AUG-21</v>
      </c>
      <c r="D17" s="27">
        <f t="shared" si="2"/>
        <v>45525</v>
      </c>
      <c r="E17" s="24" t="s">
        <v>121</v>
      </c>
      <c r="F17" s="7" t="s">
        <v>51</v>
      </c>
      <c r="G17" s="7" t="s">
        <v>52</v>
      </c>
      <c r="H17" s="7" t="str">
        <f t="shared" si="1"/>
        <v>Samsonite Laptop Bag</v>
      </c>
      <c r="I17" s="7" t="s">
        <v>53</v>
      </c>
      <c r="J17" s="19">
        <v>50</v>
      </c>
      <c r="K17" s="20">
        <v>35</v>
      </c>
      <c r="L17" s="3"/>
    </row>
    <row r="18" spans="1:12" ht="28.8" customHeight="1" x14ac:dyDescent="0.25">
      <c r="A18" s="6">
        <v>20</v>
      </c>
      <c r="B18" s="6" t="s">
        <v>113</v>
      </c>
      <c r="C18" s="26" t="str">
        <f t="shared" si="0"/>
        <v>AUG-20</v>
      </c>
      <c r="D18" s="26">
        <f t="shared" si="2"/>
        <v>45524</v>
      </c>
      <c r="E18" s="23" t="s">
        <v>123</v>
      </c>
      <c r="F18" s="6" t="s">
        <v>98</v>
      </c>
      <c r="G18" s="6" t="s">
        <v>55</v>
      </c>
      <c r="H18" s="6" t="str">
        <f t="shared" si="1"/>
        <v>Huawei Smart Watch</v>
      </c>
      <c r="I18" s="6" t="s">
        <v>9</v>
      </c>
      <c r="J18" s="17">
        <v>160</v>
      </c>
      <c r="K18" s="18">
        <v>15</v>
      </c>
      <c r="L18" s="3"/>
    </row>
    <row r="19" spans="1:12" ht="28.8" customHeight="1" x14ac:dyDescent="0.25">
      <c r="A19" s="7">
        <v>27</v>
      </c>
      <c r="B19" s="7" t="s">
        <v>104</v>
      </c>
      <c r="C19" s="27" t="str">
        <f t="shared" si="0"/>
        <v>JAN-27</v>
      </c>
      <c r="D19" s="27">
        <f t="shared" si="2"/>
        <v>45318</v>
      </c>
      <c r="E19" s="24" t="s">
        <v>124</v>
      </c>
      <c r="F19" s="7" t="s">
        <v>7</v>
      </c>
      <c r="G19" s="7" t="s">
        <v>57</v>
      </c>
      <c r="H19" s="7" t="str">
        <f t="shared" si="1"/>
        <v>Asus Laptop</v>
      </c>
      <c r="I19" s="7" t="s">
        <v>9</v>
      </c>
      <c r="J19" s="19">
        <v>980</v>
      </c>
      <c r="K19" s="20">
        <v>10</v>
      </c>
      <c r="L19" s="3"/>
    </row>
    <row r="20" spans="1:12" ht="28.8" customHeight="1" x14ac:dyDescent="0.25">
      <c r="A20" s="6">
        <v>1</v>
      </c>
      <c r="B20" s="6" t="s">
        <v>107</v>
      </c>
      <c r="C20" s="26" t="str">
        <f t="shared" si="0"/>
        <v>MAR-1</v>
      </c>
      <c r="D20" s="26">
        <f t="shared" si="2"/>
        <v>45352</v>
      </c>
      <c r="E20" s="23" t="s">
        <v>111</v>
      </c>
      <c r="F20" s="6" t="s">
        <v>59</v>
      </c>
      <c r="G20" s="6" t="s">
        <v>60</v>
      </c>
      <c r="H20" s="6" t="str">
        <f t="shared" si="1"/>
        <v>Oakley Sunglasses</v>
      </c>
      <c r="I20" s="6" t="s">
        <v>13</v>
      </c>
      <c r="J20" s="17">
        <v>150</v>
      </c>
      <c r="K20" s="18">
        <v>15</v>
      </c>
      <c r="L20" s="3"/>
    </row>
    <row r="21" spans="1:12" ht="28.8" customHeight="1" x14ac:dyDescent="0.25">
      <c r="A21" s="7">
        <v>14</v>
      </c>
      <c r="B21" s="7" t="s">
        <v>113</v>
      </c>
      <c r="C21" s="27" t="str">
        <f t="shared" si="0"/>
        <v>AUG-14</v>
      </c>
      <c r="D21" s="27">
        <f t="shared" si="2"/>
        <v>45518</v>
      </c>
      <c r="E21" s="24" t="s">
        <v>105</v>
      </c>
      <c r="F21" s="7" t="s">
        <v>62</v>
      </c>
      <c r="G21" s="7" t="s">
        <v>63</v>
      </c>
      <c r="H21" s="7" t="str">
        <f t="shared" si="1"/>
        <v>Coleman Camping Tent</v>
      </c>
      <c r="I21" s="7" t="s">
        <v>24</v>
      </c>
      <c r="J21" s="19">
        <v>200</v>
      </c>
      <c r="K21" s="20">
        <v>10</v>
      </c>
      <c r="L21" s="3"/>
    </row>
    <row r="22" spans="1:12" ht="28.8" customHeight="1" x14ac:dyDescent="0.25">
      <c r="A22" s="6">
        <v>14</v>
      </c>
      <c r="B22" s="6" t="s">
        <v>109</v>
      </c>
      <c r="C22" s="26" t="str">
        <f t="shared" si="0"/>
        <v>MAY-14</v>
      </c>
      <c r="D22" s="26">
        <f t="shared" si="2"/>
        <v>45426</v>
      </c>
      <c r="E22" s="23" t="s">
        <v>125</v>
      </c>
      <c r="F22" s="6" t="s">
        <v>65</v>
      </c>
      <c r="G22" s="6" t="s">
        <v>66</v>
      </c>
      <c r="H22" s="6" t="str">
        <f t="shared" si="1"/>
        <v>Nikon Camera</v>
      </c>
      <c r="I22" s="6" t="s">
        <v>9</v>
      </c>
      <c r="J22" s="17">
        <v>700</v>
      </c>
      <c r="K22" s="18">
        <v>50</v>
      </c>
      <c r="L22" s="3"/>
    </row>
    <row r="23" spans="1:12" ht="28.8" customHeight="1" x14ac:dyDescent="0.25">
      <c r="A23" s="7">
        <v>9</v>
      </c>
      <c r="B23" s="7" t="s">
        <v>104</v>
      </c>
      <c r="C23" s="27" t="str">
        <f t="shared" si="0"/>
        <v>JAN-9</v>
      </c>
      <c r="D23" s="27">
        <f t="shared" si="2"/>
        <v>45300</v>
      </c>
      <c r="E23" s="24" t="s">
        <v>121</v>
      </c>
      <c r="F23" s="7" t="s">
        <v>68</v>
      </c>
      <c r="G23" s="7" t="s">
        <v>69</v>
      </c>
      <c r="H23" s="7" t="str">
        <f t="shared" si="1"/>
        <v>Panasonic Microwave</v>
      </c>
      <c r="I23" s="7" t="s">
        <v>17</v>
      </c>
      <c r="J23" s="19">
        <v>80</v>
      </c>
      <c r="K23" s="20">
        <v>20</v>
      </c>
      <c r="L23" s="3"/>
    </row>
    <row r="24" spans="1:12" ht="28.8" customHeight="1" x14ac:dyDescent="0.25">
      <c r="A24" s="6">
        <v>19</v>
      </c>
      <c r="B24" s="6" t="s">
        <v>112</v>
      </c>
      <c r="C24" s="26" t="str">
        <f t="shared" si="0"/>
        <v>JUL-19</v>
      </c>
      <c r="D24" s="26">
        <f t="shared" si="2"/>
        <v>45492</v>
      </c>
      <c r="E24" s="23" t="s">
        <v>126</v>
      </c>
      <c r="F24" s="6" t="s">
        <v>71</v>
      </c>
      <c r="G24" s="6" t="s">
        <v>72</v>
      </c>
      <c r="H24" s="6" t="str">
        <f t="shared" si="1"/>
        <v>Xiaomi Fitness Tracker</v>
      </c>
      <c r="I24" s="6" t="s">
        <v>9</v>
      </c>
      <c r="J24" s="17">
        <v>150</v>
      </c>
      <c r="K24" s="18">
        <v>30</v>
      </c>
      <c r="L24" s="3"/>
    </row>
    <row r="25" spans="1:12" ht="28.8" customHeight="1" x14ac:dyDescent="0.25">
      <c r="A25" s="6">
        <v>29</v>
      </c>
      <c r="B25" s="6" t="s">
        <v>114</v>
      </c>
      <c r="C25" s="26" t="str">
        <f t="shared" si="0"/>
        <v>SEP-29</v>
      </c>
      <c r="D25" s="26">
        <f t="shared" si="2"/>
        <v>45564</v>
      </c>
      <c r="E25" s="23" t="s">
        <v>121</v>
      </c>
      <c r="F25" s="6" t="s">
        <v>97</v>
      </c>
      <c r="G25" s="6" t="s">
        <v>74</v>
      </c>
      <c r="H25" s="6" t="str">
        <f t="shared" si="1"/>
        <v>Google Smart Phone</v>
      </c>
      <c r="I25" s="6" t="s">
        <v>9</v>
      </c>
      <c r="J25" s="17">
        <v>800</v>
      </c>
      <c r="K25" s="18">
        <v>45</v>
      </c>
      <c r="L25" s="5"/>
    </row>
    <row r="26" spans="1:12" ht="28.8" customHeight="1" x14ac:dyDescent="0.25">
      <c r="A26" s="7">
        <v>3</v>
      </c>
      <c r="B26" s="7" t="s">
        <v>110</v>
      </c>
      <c r="C26" s="27" t="str">
        <f t="shared" si="0"/>
        <v>JUN-3</v>
      </c>
      <c r="D26" s="27">
        <f t="shared" si="2"/>
        <v>45446</v>
      </c>
      <c r="E26" s="24" t="s">
        <v>121</v>
      </c>
      <c r="F26" s="7" t="s">
        <v>59</v>
      </c>
      <c r="G26" s="7" t="s">
        <v>76</v>
      </c>
      <c r="H26" s="7" t="str">
        <f t="shared" si="1"/>
        <v>Ray-Ban Sunglasses</v>
      </c>
      <c r="I26" s="7" t="s">
        <v>13</v>
      </c>
      <c r="J26" s="19">
        <v>130</v>
      </c>
      <c r="K26" s="20">
        <v>25</v>
      </c>
      <c r="L26" s="3"/>
    </row>
    <row r="27" spans="1:12" ht="28.8" customHeight="1" x14ac:dyDescent="0.25">
      <c r="A27" s="6">
        <v>11</v>
      </c>
      <c r="B27" s="6" t="s">
        <v>112</v>
      </c>
      <c r="C27" s="26" t="str">
        <f t="shared" si="0"/>
        <v>JUL-11</v>
      </c>
      <c r="D27" s="26">
        <f t="shared" si="2"/>
        <v>45484</v>
      </c>
      <c r="E27" s="23" t="s">
        <v>121</v>
      </c>
      <c r="F27" s="6" t="s">
        <v>32</v>
      </c>
      <c r="G27" s="6" t="s">
        <v>78</v>
      </c>
      <c r="H27" s="6" t="str">
        <f t="shared" si="1"/>
        <v>Vitamix Blender</v>
      </c>
      <c r="I27" s="6" t="s">
        <v>17</v>
      </c>
      <c r="J27" s="17">
        <v>400</v>
      </c>
      <c r="K27" s="18">
        <v>40</v>
      </c>
      <c r="L27" s="3"/>
    </row>
    <row r="28" spans="1:12" ht="28.8" customHeight="1" x14ac:dyDescent="0.25">
      <c r="A28" s="6">
        <v>7</v>
      </c>
      <c r="B28" s="6" t="s">
        <v>107</v>
      </c>
      <c r="C28" s="26" t="str">
        <f t="shared" si="0"/>
        <v>MAR-7</v>
      </c>
      <c r="D28" s="26">
        <f t="shared" si="2"/>
        <v>45358</v>
      </c>
      <c r="E28" s="23" t="s">
        <v>121</v>
      </c>
      <c r="F28" s="6" t="s">
        <v>80</v>
      </c>
      <c r="G28" s="6" t="s">
        <v>81</v>
      </c>
      <c r="H28" s="6" t="str">
        <f t="shared" si="1"/>
        <v>Zara Dress</v>
      </c>
      <c r="I28" s="6" t="s">
        <v>13</v>
      </c>
      <c r="J28" s="17">
        <v>60</v>
      </c>
      <c r="K28" s="18">
        <v>30</v>
      </c>
      <c r="L28" s="3"/>
    </row>
    <row r="29" spans="1:12" ht="28.8" customHeight="1" x14ac:dyDescent="0.25">
      <c r="A29" s="7">
        <v>13</v>
      </c>
      <c r="B29" s="7" t="s">
        <v>108</v>
      </c>
      <c r="C29" s="27" t="str">
        <f t="shared" si="0"/>
        <v>APR-13</v>
      </c>
      <c r="D29" s="27">
        <f t="shared" si="2"/>
        <v>45395</v>
      </c>
      <c r="E29" s="24" t="s">
        <v>121</v>
      </c>
      <c r="F29" s="7" t="s">
        <v>83</v>
      </c>
      <c r="G29" s="7" t="s">
        <v>84</v>
      </c>
      <c r="H29" s="7" t="str">
        <f t="shared" si="1"/>
        <v>Hamilton Toaster</v>
      </c>
      <c r="I29" s="7" t="s">
        <v>17</v>
      </c>
      <c r="J29" s="19">
        <v>40</v>
      </c>
      <c r="K29" s="20">
        <v>10</v>
      </c>
      <c r="L29" s="9"/>
    </row>
    <row r="30" spans="1:12" ht="28.8" customHeight="1" x14ac:dyDescent="0.25">
      <c r="A30" s="6">
        <v>24</v>
      </c>
      <c r="B30" s="6" t="s">
        <v>109</v>
      </c>
      <c r="C30" s="26" t="str">
        <f t="shared" si="0"/>
        <v>MAY-24</v>
      </c>
      <c r="D30" s="26">
        <f t="shared" si="2"/>
        <v>45436</v>
      </c>
      <c r="E30" s="23" t="s">
        <v>121</v>
      </c>
      <c r="F30" s="6" t="s">
        <v>71</v>
      </c>
      <c r="G30" s="6" t="s">
        <v>86</v>
      </c>
      <c r="H30" s="6" t="str">
        <f t="shared" si="1"/>
        <v>Garmin Fitness Tracker</v>
      </c>
      <c r="I30" s="6" t="s">
        <v>9</v>
      </c>
      <c r="J30" s="17">
        <v>130</v>
      </c>
      <c r="K30" s="18">
        <v>5</v>
      </c>
      <c r="L30" s="3"/>
    </row>
    <row r="31" spans="1:12" ht="28.8" customHeight="1" x14ac:dyDescent="0.25">
      <c r="A31" s="7">
        <v>2</v>
      </c>
      <c r="B31" s="7" t="s">
        <v>119</v>
      </c>
      <c r="C31" s="27" t="str">
        <f t="shared" si="0"/>
        <v>DEC-2</v>
      </c>
      <c r="D31" s="27">
        <f t="shared" si="2"/>
        <v>45628</v>
      </c>
      <c r="E31" s="24" t="s">
        <v>121</v>
      </c>
      <c r="F31" s="7" t="s">
        <v>88</v>
      </c>
      <c r="G31" s="7" t="s">
        <v>89</v>
      </c>
      <c r="H31" s="7" t="str">
        <f t="shared" si="1"/>
        <v>Levi's Jeans</v>
      </c>
      <c r="I31" s="7" t="s">
        <v>13</v>
      </c>
      <c r="J31" s="19">
        <v>50</v>
      </c>
      <c r="K31" s="20">
        <v>50</v>
      </c>
      <c r="L31" s="3"/>
    </row>
    <row r="32" spans="1:12" ht="28.8" customHeight="1" x14ac:dyDescent="0.25">
      <c r="A32" s="7">
        <v>9</v>
      </c>
      <c r="B32" s="7" t="s">
        <v>112</v>
      </c>
      <c r="C32" s="27" t="str">
        <f t="shared" si="0"/>
        <v>JUL-9</v>
      </c>
      <c r="D32" s="27">
        <f t="shared" si="2"/>
        <v>45482</v>
      </c>
      <c r="E32" s="24" t="s">
        <v>127</v>
      </c>
      <c r="F32" s="7" t="s">
        <v>91</v>
      </c>
      <c r="G32" s="7" t="s">
        <v>92</v>
      </c>
      <c r="H32" s="7" t="str">
        <f t="shared" si="1"/>
        <v>Casio Watch</v>
      </c>
      <c r="I32" s="7" t="s">
        <v>53</v>
      </c>
      <c r="J32" s="19">
        <v>100</v>
      </c>
      <c r="K32" s="20">
        <v>20</v>
      </c>
      <c r="L32" s="3"/>
    </row>
    <row r="33" spans="12:12" ht="28.8" customHeight="1" x14ac:dyDescent="0.25">
      <c r="L33" s="3"/>
    </row>
    <row r="34" spans="12:12" ht="28.8" customHeight="1" x14ac:dyDescent="0.25">
      <c r="L34" s="3"/>
    </row>
    <row r="35" spans="12:12" ht="28.8" customHeight="1" x14ac:dyDescent="0.25">
      <c r="L35" s="3"/>
    </row>
  </sheetData>
  <autoFilter ref="A1:O35" xr:uid="{5099B3CA-67A9-4F36-A657-A925A7D10070}"/>
  <conditionalFormatting sqref="J1:J1048576">
    <cfRule type="dataBar" priority="2">
      <dataBar>
        <cfvo type="min"/>
        <cfvo type="max"/>
        <color rgb="FF008AEF"/>
      </dataBar>
      <extLst>
        <ext xmlns:x14="http://schemas.microsoft.com/office/spreadsheetml/2009/9/main" uri="{B025F937-C7B1-47D3-B67F-A62EFF666E3E}">
          <x14:id>{5D9D0741-9C68-4B94-B280-C93E9778D5CF}</x14:id>
        </ext>
      </extLst>
    </cfRule>
  </conditionalFormatting>
  <conditionalFormatting sqref="I2:I32">
    <cfRule type="expression" dxfId="2" priority="1">
      <formula>I2="Electronics"</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D9D0741-9C68-4B94-B280-C93E9778D5CF}">
            <x14:dataBar minLength="0" maxLength="100" border="1" negativeBarBorderColorSameAsPositive="0">
              <x14:cfvo type="autoMin"/>
              <x14:cfvo type="autoMax"/>
              <x14:borderColor rgb="FF008AEF"/>
              <x14:negativeFillColor rgb="FFFF0000"/>
              <x14:negativeBorderColor rgb="FFFF0000"/>
              <x14:axisColor rgb="FF000000"/>
            </x14:dataBar>
          </x14:cfRule>
          <xm:sqref>J1:J1048576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1105-8C73-4A91-8EC2-4A9BC978922D}">
  <dimension ref="A1:G35"/>
  <sheetViews>
    <sheetView topLeftCell="A22" workbookViewId="0">
      <selection activeCell="G28" sqref="G28"/>
    </sheetView>
  </sheetViews>
  <sheetFormatPr defaultColWidth="20.44140625" defaultRowHeight="13.2" x14ac:dyDescent="0.25"/>
  <cols>
    <col min="1" max="1" width="20.6640625" style="32" customWidth="1"/>
    <col min="2" max="2" width="16.88671875" style="25" customWidth="1"/>
    <col min="3" max="3" width="26.33203125" customWidth="1"/>
    <col min="4" max="4" width="18.88671875" customWidth="1"/>
    <col min="5" max="5" width="23" style="21" customWidth="1"/>
    <col min="6" max="6" width="13.6640625" style="22" customWidth="1"/>
  </cols>
  <sheetData>
    <row r="1" spans="1:7" ht="28.8" customHeight="1" x14ac:dyDescent="0.25">
      <c r="A1" s="29" t="s">
        <v>101</v>
      </c>
      <c r="B1" s="12" t="s">
        <v>102</v>
      </c>
      <c r="C1" s="8" t="s">
        <v>103</v>
      </c>
      <c r="D1" s="8" t="s">
        <v>5</v>
      </c>
      <c r="E1" s="15" t="s">
        <v>3</v>
      </c>
      <c r="F1" s="16" t="s">
        <v>4</v>
      </c>
      <c r="G1" s="2"/>
    </row>
    <row r="2" spans="1:7" ht="28.8" customHeight="1" x14ac:dyDescent="0.25">
      <c r="A2" s="30">
        <v>45319</v>
      </c>
      <c r="B2" s="23" t="s">
        <v>105</v>
      </c>
      <c r="C2" s="6" t="s">
        <v>134</v>
      </c>
      <c r="D2" s="6" t="s">
        <v>9</v>
      </c>
      <c r="E2" s="17">
        <v>1000</v>
      </c>
      <c r="F2" s="18">
        <v>30</v>
      </c>
      <c r="G2" s="3"/>
    </row>
    <row r="3" spans="1:7" ht="28.8" customHeight="1" x14ac:dyDescent="0.25">
      <c r="A3" s="31">
        <v>45337</v>
      </c>
      <c r="B3" s="24" t="s">
        <v>105</v>
      </c>
      <c r="C3" s="7" t="s">
        <v>135</v>
      </c>
      <c r="D3" s="7" t="s">
        <v>13</v>
      </c>
      <c r="E3" s="19">
        <v>80</v>
      </c>
      <c r="F3" s="20">
        <v>15</v>
      </c>
      <c r="G3" s="3"/>
    </row>
    <row r="4" spans="1:7" ht="28.8" customHeight="1" x14ac:dyDescent="0.25">
      <c r="A4" s="30">
        <v>45354</v>
      </c>
      <c r="B4" s="23" t="s">
        <v>105</v>
      </c>
      <c r="C4" s="6" t="s">
        <v>136</v>
      </c>
      <c r="D4" s="6" t="s">
        <v>17</v>
      </c>
      <c r="E4" s="17">
        <v>130</v>
      </c>
      <c r="F4" s="18">
        <v>40</v>
      </c>
      <c r="G4" s="3"/>
    </row>
    <row r="5" spans="1:7" ht="28.8" customHeight="1" x14ac:dyDescent="0.25">
      <c r="A5" s="31">
        <v>45393</v>
      </c>
      <c r="B5" s="24" t="s">
        <v>105</v>
      </c>
      <c r="C5" s="7" t="s">
        <v>137</v>
      </c>
      <c r="D5" s="7" t="s">
        <v>9</v>
      </c>
      <c r="E5" s="19">
        <v>900</v>
      </c>
      <c r="F5" s="20">
        <v>25</v>
      </c>
      <c r="G5" s="3"/>
    </row>
    <row r="6" spans="1:7" ht="28.8" customHeight="1" x14ac:dyDescent="0.25">
      <c r="A6" s="30">
        <v>45434</v>
      </c>
      <c r="B6" s="23" t="s">
        <v>105</v>
      </c>
      <c r="C6" s="6" t="s">
        <v>138</v>
      </c>
      <c r="D6" s="6" t="s">
        <v>24</v>
      </c>
      <c r="E6" s="17">
        <v>70</v>
      </c>
      <c r="F6" s="18">
        <v>20</v>
      </c>
      <c r="G6" s="3"/>
    </row>
    <row r="7" spans="1:7" ht="28.8" customHeight="1" x14ac:dyDescent="0.25">
      <c r="A7" s="31">
        <v>45450</v>
      </c>
      <c r="B7" s="24" t="s">
        <v>111</v>
      </c>
      <c r="C7" s="7" t="s">
        <v>139</v>
      </c>
      <c r="D7" s="7" t="s">
        <v>9</v>
      </c>
      <c r="E7" s="19">
        <v>200</v>
      </c>
      <c r="F7" s="20">
        <v>45</v>
      </c>
      <c r="G7" s="3"/>
    </row>
    <row r="8" spans="1:7" ht="28.8" customHeight="1" x14ac:dyDescent="0.25">
      <c r="A8" s="30">
        <v>45492</v>
      </c>
      <c r="B8" s="23" t="s">
        <v>111</v>
      </c>
      <c r="C8" s="6" t="s">
        <v>140</v>
      </c>
      <c r="D8" s="6" t="s">
        <v>13</v>
      </c>
      <c r="E8" s="17">
        <v>30</v>
      </c>
      <c r="F8" s="18">
        <v>5</v>
      </c>
      <c r="G8" s="3"/>
    </row>
    <row r="9" spans="1:7" ht="28.8" customHeight="1" x14ac:dyDescent="0.25">
      <c r="A9" s="31">
        <v>45527</v>
      </c>
      <c r="B9" s="24" t="s">
        <v>111</v>
      </c>
      <c r="C9" s="7" t="s">
        <v>141</v>
      </c>
      <c r="D9" s="7" t="s">
        <v>17</v>
      </c>
      <c r="E9" s="19">
        <v>90</v>
      </c>
      <c r="F9" s="20">
        <v>35</v>
      </c>
      <c r="G9" s="3"/>
    </row>
    <row r="10" spans="1:7" ht="28.8" customHeight="1" x14ac:dyDescent="0.25">
      <c r="A10" s="30">
        <v>45540</v>
      </c>
      <c r="B10" s="23" t="s">
        <v>111</v>
      </c>
      <c r="C10" s="6" t="s">
        <v>142</v>
      </c>
      <c r="D10" s="6" t="s">
        <v>9</v>
      </c>
      <c r="E10" s="17">
        <v>500</v>
      </c>
      <c r="F10" s="18">
        <v>50</v>
      </c>
      <c r="G10" s="3"/>
    </row>
    <row r="11" spans="1:7" ht="28.8" customHeight="1" x14ac:dyDescent="0.25">
      <c r="A11" s="31">
        <v>45579</v>
      </c>
      <c r="B11" s="24" t="s">
        <v>111</v>
      </c>
      <c r="C11" s="7" t="s">
        <v>143</v>
      </c>
      <c r="D11" s="7" t="s">
        <v>24</v>
      </c>
      <c r="E11" s="19">
        <v>130</v>
      </c>
      <c r="F11" s="20">
        <v>10</v>
      </c>
      <c r="G11" s="3"/>
    </row>
    <row r="12" spans="1:7" ht="28.8" customHeight="1" x14ac:dyDescent="0.25">
      <c r="A12" s="30">
        <v>45460</v>
      </c>
      <c r="B12" s="23" t="s">
        <v>116</v>
      </c>
      <c r="C12" s="6" t="s">
        <v>144</v>
      </c>
      <c r="D12" s="6" t="s">
        <v>9</v>
      </c>
      <c r="E12" s="17">
        <v>950</v>
      </c>
      <c r="F12" s="18">
        <v>25</v>
      </c>
      <c r="G12" s="3"/>
    </row>
    <row r="13" spans="1:7" ht="28.8" customHeight="1" x14ac:dyDescent="0.25">
      <c r="A13" s="31">
        <v>45621</v>
      </c>
      <c r="B13" s="24" t="s">
        <v>118</v>
      </c>
      <c r="C13" s="7" t="s">
        <v>145</v>
      </c>
      <c r="D13" s="7" t="s">
        <v>13</v>
      </c>
      <c r="E13" s="19">
        <v>90</v>
      </c>
      <c r="F13" s="20">
        <v>40</v>
      </c>
      <c r="G13" s="3"/>
    </row>
    <row r="14" spans="1:7" ht="28.8" customHeight="1" x14ac:dyDescent="0.25">
      <c r="A14" s="30">
        <v>45634</v>
      </c>
      <c r="B14" s="23" t="s">
        <v>120</v>
      </c>
      <c r="C14" s="6" t="s">
        <v>146</v>
      </c>
      <c r="D14" s="6" t="s">
        <v>17</v>
      </c>
      <c r="E14" s="17">
        <v>120</v>
      </c>
      <c r="F14" s="18">
        <v>35</v>
      </c>
      <c r="G14" s="3"/>
    </row>
    <row r="15" spans="1:7" ht="28.8" customHeight="1" x14ac:dyDescent="0.25">
      <c r="A15" s="31">
        <v>45340</v>
      </c>
      <c r="B15" s="24" t="s">
        <v>121</v>
      </c>
      <c r="C15" s="7" t="s">
        <v>147</v>
      </c>
      <c r="D15" s="7" t="s">
        <v>9</v>
      </c>
      <c r="E15" s="19">
        <v>150</v>
      </c>
      <c r="F15" s="20">
        <v>15</v>
      </c>
      <c r="G15" s="3"/>
    </row>
    <row r="16" spans="1:7" ht="28.8" customHeight="1" x14ac:dyDescent="0.25">
      <c r="A16" s="30">
        <v>45398</v>
      </c>
      <c r="B16" s="23" t="s">
        <v>122</v>
      </c>
      <c r="C16" s="6" t="s">
        <v>148</v>
      </c>
      <c r="D16" s="6" t="s">
        <v>9</v>
      </c>
      <c r="E16" s="17">
        <v>250</v>
      </c>
      <c r="F16" s="18">
        <v>20</v>
      </c>
      <c r="G16" s="3"/>
    </row>
    <row r="17" spans="1:7" ht="28.8" customHeight="1" x14ac:dyDescent="0.25">
      <c r="A17" s="31">
        <v>45525</v>
      </c>
      <c r="B17" s="24" t="s">
        <v>121</v>
      </c>
      <c r="C17" s="7" t="s">
        <v>149</v>
      </c>
      <c r="D17" s="7" t="s">
        <v>53</v>
      </c>
      <c r="E17" s="19">
        <v>50</v>
      </c>
      <c r="F17" s="20">
        <v>35</v>
      </c>
      <c r="G17" s="3"/>
    </row>
    <row r="18" spans="1:7" ht="28.8" customHeight="1" x14ac:dyDescent="0.25">
      <c r="A18" s="30">
        <v>45524</v>
      </c>
      <c r="B18" s="23" t="s">
        <v>123</v>
      </c>
      <c r="C18" s="6" t="s">
        <v>150</v>
      </c>
      <c r="D18" s="6" t="s">
        <v>9</v>
      </c>
      <c r="E18" s="17">
        <v>160</v>
      </c>
      <c r="F18" s="18">
        <v>15</v>
      </c>
      <c r="G18" s="3"/>
    </row>
    <row r="19" spans="1:7" ht="28.8" customHeight="1" x14ac:dyDescent="0.25">
      <c r="A19" s="31">
        <v>45318</v>
      </c>
      <c r="B19" s="24" t="s">
        <v>124</v>
      </c>
      <c r="C19" s="7" t="s">
        <v>151</v>
      </c>
      <c r="D19" s="7" t="s">
        <v>9</v>
      </c>
      <c r="E19" s="19">
        <v>980</v>
      </c>
      <c r="F19" s="20">
        <v>10</v>
      </c>
      <c r="G19" s="3"/>
    </row>
    <row r="20" spans="1:7" ht="28.8" customHeight="1" x14ac:dyDescent="0.25">
      <c r="A20" s="30">
        <v>45352</v>
      </c>
      <c r="B20" s="23" t="s">
        <v>111</v>
      </c>
      <c r="C20" s="6" t="s">
        <v>152</v>
      </c>
      <c r="D20" s="6" t="s">
        <v>13</v>
      </c>
      <c r="E20" s="17">
        <v>150</v>
      </c>
      <c r="F20" s="18">
        <v>15</v>
      </c>
      <c r="G20" s="3"/>
    </row>
    <row r="21" spans="1:7" ht="28.8" customHeight="1" x14ac:dyDescent="0.25">
      <c r="A21" s="31">
        <v>45518</v>
      </c>
      <c r="B21" s="24" t="s">
        <v>105</v>
      </c>
      <c r="C21" s="7" t="s">
        <v>153</v>
      </c>
      <c r="D21" s="7" t="s">
        <v>24</v>
      </c>
      <c r="E21" s="19">
        <v>200</v>
      </c>
      <c r="F21" s="20">
        <v>10</v>
      </c>
      <c r="G21" s="3"/>
    </row>
    <row r="22" spans="1:7" ht="28.8" customHeight="1" x14ac:dyDescent="0.25">
      <c r="A22" s="30">
        <v>45426</v>
      </c>
      <c r="B22" s="23" t="s">
        <v>125</v>
      </c>
      <c r="C22" s="6" t="s">
        <v>154</v>
      </c>
      <c r="D22" s="6" t="s">
        <v>9</v>
      </c>
      <c r="E22" s="17">
        <v>700</v>
      </c>
      <c r="F22" s="18">
        <v>50</v>
      </c>
      <c r="G22" s="3"/>
    </row>
    <row r="23" spans="1:7" ht="28.8" customHeight="1" x14ac:dyDescent="0.25">
      <c r="A23" s="31">
        <v>45300</v>
      </c>
      <c r="B23" s="24" t="s">
        <v>121</v>
      </c>
      <c r="C23" s="7" t="s">
        <v>155</v>
      </c>
      <c r="D23" s="7" t="s">
        <v>17</v>
      </c>
      <c r="E23" s="19">
        <v>80</v>
      </c>
      <c r="F23" s="20">
        <v>20</v>
      </c>
      <c r="G23" s="3"/>
    </row>
    <row r="24" spans="1:7" ht="28.8" customHeight="1" x14ac:dyDescent="0.25">
      <c r="A24" s="30">
        <v>45492</v>
      </c>
      <c r="B24" s="23" t="s">
        <v>126</v>
      </c>
      <c r="C24" s="6" t="s">
        <v>156</v>
      </c>
      <c r="D24" s="6" t="s">
        <v>9</v>
      </c>
      <c r="E24" s="17">
        <v>150</v>
      </c>
      <c r="F24" s="18">
        <v>30</v>
      </c>
      <c r="G24" s="3"/>
    </row>
    <row r="25" spans="1:7" ht="28.8" customHeight="1" x14ac:dyDescent="0.25">
      <c r="A25" s="30">
        <v>45564</v>
      </c>
      <c r="B25" s="23" t="s">
        <v>121</v>
      </c>
      <c r="C25" s="6" t="s">
        <v>157</v>
      </c>
      <c r="D25" s="6" t="s">
        <v>9</v>
      </c>
      <c r="E25" s="17">
        <v>800</v>
      </c>
      <c r="F25" s="18">
        <v>45</v>
      </c>
      <c r="G25" s="5"/>
    </row>
    <row r="26" spans="1:7" ht="28.8" customHeight="1" x14ac:dyDescent="0.25">
      <c r="A26" s="31">
        <v>45446</v>
      </c>
      <c r="B26" s="24" t="s">
        <v>121</v>
      </c>
      <c r="C26" s="7" t="s">
        <v>158</v>
      </c>
      <c r="D26" s="7" t="s">
        <v>13</v>
      </c>
      <c r="E26" s="19">
        <v>130</v>
      </c>
      <c r="F26" s="20">
        <v>25</v>
      </c>
      <c r="G26" s="3"/>
    </row>
    <row r="27" spans="1:7" ht="28.8" customHeight="1" x14ac:dyDescent="0.25">
      <c r="A27" s="30">
        <v>45484</v>
      </c>
      <c r="B27" s="23" t="s">
        <v>121</v>
      </c>
      <c r="C27" s="6" t="s">
        <v>159</v>
      </c>
      <c r="D27" s="6" t="s">
        <v>17</v>
      </c>
      <c r="E27" s="17">
        <v>400</v>
      </c>
      <c r="F27" s="18">
        <v>40</v>
      </c>
      <c r="G27" s="3"/>
    </row>
    <row r="28" spans="1:7" ht="28.8" customHeight="1" x14ac:dyDescent="0.25">
      <c r="A28" s="30">
        <v>45358</v>
      </c>
      <c r="B28" s="23" t="s">
        <v>121</v>
      </c>
      <c r="C28" s="6" t="s">
        <v>160</v>
      </c>
      <c r="D28" s="6" t="s">
        <v>13</v>
      </c>
      <c r="E28" s="17">
        <v>60</v>
      </c>
      <c r="F28" s="18">
        <v>30</v>
      </c>
      <c r="G28" s="3"/>
    </row>
    <row r="29" spans="1:7" ht="28.8" customHeight="1" x14ac:dyDescent="0.25">
      <c r="A29" s="31">
        <v>45395</v>
      </c>
      <c r="B29" s="24" t="s">
        <v>121</v>
      </c>
      <c r="C29" s="7" t="s">
        <v>161</v>
      </c>
      <c r="D29" s="7" t="s">
        <v>17</v>
      </c>
      <c r="E29" s="19">
        <v>40</v>
      </c>
      <c r="F29" s="20">
        <v>10</v>
      </c>
      <c r="G29" s="9"/>
    </row>
    <row r="30" spans="1:7" ht="28.8" customHeight="1" x14ac:dyDescent="0.25">
      <c r="A30" s="30">
        <v>45436</v>
      </c>
      <c r="B30" s="23" t="s">
        <v>121</v>
      </c>
      <c r="C30" s="6" t="s">
        <v>162</v>
      </c>
      <c r="D30" s="6" t="s">
        <v>9</v>
      </c>
      <c r="E30" s="17">
        <v>130</v>
      </c>
      <c r="F30" s="18">
        <v>5</v>
      </c>
      <c r="G30" s="3"/>
    </row>
    <row r="31" spans="1:7" ht="28.8" customHeight="1" x14ac:dyDescent="0.25">
      <c r="A31" s="31">
        <v>45628</v>
      </c>
      <c r="B31" s="24" t="s">
        <v>121</v>
      </c>
      <c r="C31" s="7" t="s">
        <v>163</v>
      </c>
      <c r="D31" s="7" t="s">
        <v>13</v>
      </c>
      <c r="E31" s="19">
        <v>50</v>
      </c>
      <c r="F31" s="20">
        <v>50</v>
      </c>
      <c r="G31" s="3"/>
    </row>
    <row r="32" spans="1:7" ht="28.8" customHeight="1" x14ac:dyDescent="0.25">
      <c r="A32" s="31">
        <v>45482</v>
      </c>
      <c r="B32" s="24" t="s">
        <v>127</v>
      </c>
      <c r="C32" s="7" t="s">
        <v>164</v>
      </c>
      <c r="D32" s="7" t="s">
        <v>53</v>
      </c>
      <c r="E32" s="19">
        <v>100</v>
      </c>
      <c r="F32" s="20">
        <v>20</v>
      </c>
      <c r="G32" s="3"/>
    </row>
    <row r="33" spans="7:7" ht="28.8" customHeight="1" x14ac:dyDescent="0.25">
      <c r="G33" s="3"/>
    </row>
    <row r="34" spans="7:7" ht="28.8" customHeight="1" x14ac:dyDescent="0.25">
      <c r="G34" s="3"/>
    </row>
    <row r="35" spans="7:7" ht="28.8" customHeight="1" x14ac:dyDescent="0.25">
      <c r="G35" s="3"/>
    </row>
  </sheetData>
  <conditionalFormatting sqref="E1:E1048576">
    <cfRule type="dataBar" priority="2">
      <dataBar>
        <cfvo type="min"/>
        <cfvo type="max"/>
        <color rgb="FF008AEF"/>
      </dataBar>
      <extLst>
        <ext xmlns:x14="http://schemas.microsoft.com/office/spreadsheetml/2009/9/main" uri="{B025F937-C7B1-47D3-B67F-A62EFF666E3E}">
          <x14:id>{249C0130-2D9F-42AB-95CC-EAEE88BCD949}</x14:id>
        </ext>
      </extLst>
    </cfRule>
  </conditionalFormatting>
  <conditionalFormatting sqref="D2:D32">
    <cfRule type="expression" dxfId="0" priority="1">
      <formula>D2="Electronics"</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49C0130-2D9F-42AB-95CC-EAEE88BCD949}">
            <x14:dataBar minLength="0" maxLength="100" border="1" negativeBarBorderColorSameAsPositive="0">
              <x14:cfvo type="autoMin"/>
              <x14:cfvo type="autoMax"/>
              <x14:borderColor rgb="FF008AEF"/>
              <x14:negativeFillColor rgb="FFFF0000"/>
              <x14:negativeBorderColor rgb="FFFF0000"/>
              <x14:axisColor rgb="FF000000"/>
            </x14:dataBar>
          </x14:cfRule>
          <xm:sqref>E1:E1048576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A9904-C561-40DE-AAD7-458573378AFF}">
  <dimension ref="B1:C16"/>
  <sheetViews>
    <sheetView tabSelected="1" topLeftCell="A4" workbookViewId="0">
      <selection activeCell="D10" sqref="D10"/>
    </sheetView>
  </sheetViews>
  <sheetFormatPr defaultColWidth="13.77734375" defaultRowHeight="42" customHeight="1" x14ac:dyDescent="0.25"/>
  <cols>
    <col min="2" max="2" width="6.5546875" customWidth="1"/>
    <col min="3" max="3" width="161.21875" style="11" customWidth="1"/>
  </cols>
  <sheetData>
    <row r="1" spans="2:3" ht="29.4" customHeight="1" x14ac:dyDescent="0.25">
      <c r="C1" s="14" t="s">
        <v>93</v>
      </c>
    </row>
    <row r="2" spans="2:3" ht="42" customHeight="1" x14ac:dyDescent="0.25">
      <c r="B2" s="33">
        <v>1</v>
      </c>
      <c r="C2" s="34" t="s">
        <v>94</v>
      </c>
    </row>
    <row r="3" spans="2:3" ht="26.4" customHeight="1" x14ac:dyDescent="0.25">
      <c r="B3" s="33"/>
      <c r="C3" s="34" t="s">
        <v>95</v>
      </c>
    </row>
    <row r="4" spans="2:3" ht="31.2" customHeight="1" x14ac:dyDescent="0.25">
      <c r="B4" s="33"/>
      <c r="C4" s="34" t="s">
        <v>96</v>
      </c>
    </row>
    <row r="5" spans="2:3" ht="25.8" customHeight="1" x14ac:dyDescent="0.25">
      <c r="B5" s="33">
        <v>2</v>
      </c>
      <c r="C5" s="34" t="s">
        <v>99</v>
      </c>
    </row>
    <row r="6" spans="2:3" ht="24" customHeight="1" x14ac:dyDescent="0.25">
      <c r="B6" s="33"/>
      <c r="C6" s="34" t="s">
        <v>165</v>
      </c>
    </row>
    <row r="7" spans="2:3" ht="42" customHeight="1" x14ac:dyDescent="0.25">
      <c r="B7" s="33">
        <v>3</v>
      </c>
      <c r="C7" s="34" t="s">
        <v>100</v>
      </c>
    </row>
    <row r="8" spans="2:3" ht="42" customHeight="1" x14ac:dyDescent="0.25">
      <c r="B8" s="33">
        <v>4</v>
      </c>
      <c r="C8" s="34" t="s">
        <v>128</v>
      </c>
    </row>
    <row r="9" spans="2:3" ht="28.8" customHeight="1" x14ac:dyDescent="0.25">
      <c r="B9" s="33"/>
      <c r="C9" s="34" t="s">
        <v>129</v>
      </c>
    </row>
    <row r="10" spans="2:3" ht="30.6" customHeight="1" x14ac:dyDescent="0.25">
      <c r="B10" s="33">
        <v>5</v>
      </c>
      <c r="C10" s="34" t="s">
        <v>130</v>
      </c>
    </row>
    <row r="11" spans="2:3" ht="37.200000000000003" customHeight="1" x14ac:dyDescent="0.25">
      <c r="B11" s="33"/>
      <c r="C11" s="34" t="s">
        <v>131</v>
      </c>
    </row>
    <row r="12" spans="2:3" ht="34.799999999999997" customHeight="1" x14ac:dyDescent="0.25">
      <c r="B12" s="33">
        <v>6</v>
      </c>
      <c r="C12" s="34" t="s">
        <v>132</v>
      </c>
    </row>
    <row r="13" spans="2:3" ht="42" customHeight="1" x14ac:dyDescent="0.25">
      <c r="B13" s="25"/>
      <c r="C13" s="34" t="s">
        <v>133</v>
      </c>
    </row>
    <row r="14" spans="2:3" ht="42" customHeight="1" x14ac:dyDescent="0.25">
      <c r="C14" s="10"/>
    </row>
    <row r="15" spans="2:3" ht="42" customHeight="1" x14ac:dyDescent="0.25">
      <c r="C15" s="10"/>
    </row>
    <row r="16" spans="2:3" ht="42" customHeight="1" x14ac:dyDescent="0.25">
      <c r="C16"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Formated Dataset</vt:lpstr>
      <vt:lpstr>cleaned dataset</vt:lpstr>
      <vt:lpstr>Observation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hemavathi k</dc:creator>
  <cp:lastModifiedBy>hemavathi k</cp:lastModifiedBy>
  <dcterms:created xsi:type="dcterms:W3CDTF">2026-06-27T09:05:22Z</dcterms:created>
  <dcterms:modified xsi:type="dcterms:W3CDTF">2026-06-30T11:49:40Z</dcterms:modified>
</cp:coreProperties>
</file>