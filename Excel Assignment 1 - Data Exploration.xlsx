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Entri coding\Assigments\"/>
    </mc:Choice>
  </mc:AlternateContent>
  <xr:revisionPtr revIDLastSave="0" documentId="13_ncr:1_{E90A08DA-851E-429F-AF2E-A8B1623E7F2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" sheetId="1" r:id="rId1"/>
    <sheet name="Dataset formated" sheetId="2" r:id="rId2"/>
    <sheet name="Modified Dataset" sheetId="4" r:id="rId3"/>
    <sheet name="Observations" sheetId="3" r:id="rId4"/>
  </sheets>
  <definedNames>
    <definedName name="_xlnm._FilterDatabase" localSheetId="1" hidden="1">'Dataset formated'!$A$1:$K$35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H49" i="2" l="1"/>
  <c r="H47" i="2"/>
  <c r="G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H42" i="2"/>
  <c r="H41" i="2"/>
  <c r="H37" i="2"/>
  <c r="H3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2" i="2"/>
  <c r="J2" i="2"/>
  <c r="H38" i="2"/>
  <c r="H39" i="2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D36" i="1"/>
</calcChain>
</file>

<file path=xl/sharedStrings.xml><?xml version="1.0" encoding="utf-8"?>
<sst xmlns="http://schemas.openxmlformats.org/spreadsheetml/2006/main" count="542" uniqueCount="173">
  <si>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</si>
  <si>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</si>
  <si>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</si>
  <si>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</si>
  <si>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</si>
  <si>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</si>
  <si>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</si>
  <si>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</si>
  <si>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</si>
  <si>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</si>
  <si>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</si>
  <si>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</si>
  <si>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</si>
  <si>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</si>
  <si>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</si>
  <si>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</si>
  <si>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</si>
  <si>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</si>
  <si>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</si>
  <si>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</si>
  <si>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</si>
  <si>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</si>
  <si>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</si>
  <si>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</si>
  <si>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</si>
  <si>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</si>
  <si>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</si>
  <si>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</si>
  <si>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</si>
  <si>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</si>
  <si>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</si>
  <si>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</si>
  <si>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</si>
  <si>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</si>
  <si>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</si>
  <si>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</si>
  <si>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</si>
  <si>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</si>
  <si>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</si>
  <si>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</si>
  <si>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</si>
  <si>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</si>
  <si>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</si>
  <si>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</si>
  <si>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</si>
  <si>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</si>
  <si>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</si>
  <si>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</si>
  <si>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</si>
  <si>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</si>
  <si>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</si>
  <si>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</si>
  <si>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</si>
  <si>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</si>
  <si>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</si>
  <si>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</si>
  <si>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</si>
  <si>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</si>
  <si>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</si>
  <si>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</si>
  <si>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</si>
  <si>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</si>
  <si>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</si>
  <si>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</si>
  <si>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</si>
  <si>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</si>
  <si>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</si>
  <si>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</si>
  <si>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</si>
  <si>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</si>
  <si>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</si>
  <si>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</si>
  <si>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</si>
  <si>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</si>
  <si>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</si>
  <si>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</si>
  <si>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</si>
  <si>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</si>
  <si>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</si>
  <si>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</si>
  <si>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</si>
  <si>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</si>
  <si>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</si>
  <si>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</si>
  <si>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</si>
  <si>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</si>
  <si>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</si>
  <si>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</si>
  <si>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</si>
  <si>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</si>
  <si>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</si>
  <si>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</si>
  <si>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</si>
  <si>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</si>
  <si>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OBSERVATION:</t>
  </si>
  <si>
    <t>Count of all products</t>
  </si>
  <si>
    <t xml:space="preserve">Average </t>
  </si>
  <si>
    <t>1.Sum, Count, and Average</t>
  </si>
  <si>
    <t>Minimun Price</t>
  </si>
  <si>
    <t>Maximum Price</t>
  </si>
  <si>
    <t>3.Logical Function – IF</t>
  </si>
  <si>
    <t>Price Range</t>
  </si>
  <si>
    <t>=</t>
  </si>
  <si>
    <t xml:space="preserve">1.Sum, Count, and Average, </t>
  </si>
  <si>
    <t>I have calculated the sum of the total product price is 10000 using the SUM fuction =SUM(E2:E35)</t>
  </si>
  <si>
    <t>The total count of the product is 34 using the COUNT function  =COUNT(E2:E35)</t>
  </si>
  <si>
    <t>The Average no of all products is 297.0588235 using the AVERAGE function  =AVERAGE(E2:E35) and using the ROUND function I have determined the absolute value as 297.</t>
  </si>
  <si>
    <t>2.Minimum and Maximum Values</t>
  </si>
  <si>
    <t>IF(E2&gt;500,"High Price","Standard Price")</t>
  </si>
  <si>
    <t>Created Price range column</t>
  </si>
  <si>
    <t>4.Conditional Functions – SUMIF and COUNTIF</t>
  </si>
  <si>
    <t>Total no of products in electronics Category</t>
  </si>
  <si>
    <t>SUMIF</t>
  </si>
  <si>
    <t>COUNTIF</t>
  </si>
  <si>
    <t>number of products with a price
less than $100.</t>
  </si>
  <si>
    <t>Day</t>
  </si>
  <si>
    <t>Country Code</t>
  </si>
  <si>
    <t>Month</t>
  </si>
  <si>
    <t>the minimum value of listed product values is 30 Using minimum function =MIN(H2:H35)</t>
  </si>
  <si>
    <t>The maximum value of listed product values in 1000, Using the maximum function MAX(H2:H35)</t>
  </si>
  <si>
    <t>Created new column Price range. And using IF function IF(E2&gt;500,"High Price","Standard Price") categorise the Price wheather is high or standard</t>
  </si>
  <si>
    <t>28</t>
  </si>
  <si>
    <t>US</t>
  </si>
  <si>
    <t>JAN</t>
  </si>
  <si>
    <t>15</t>
  </si>
  <si>
    <t>FEB</t>
  </si>
  <si>
    <t>03</t>
  </si>
  <si>
    <t>MAR</t>
  </si>
  <si>
    <t>11</t>
  </si>
  <si>
    <t>APR</t>
  </si>
  <si>
    <t>22</t>
  </si>
  <si>
    <t>MAY</t>
  </si>
  <si>
    <t>07</t>
  </si>
  <si>
    <t>UK</t>
  </si>
  <si>
    <t>JUN</t>
  </si>
  <si>
    <t>19</t>
  </si>
  <si>
    <t>JUL</t>
  </si>
  <si>
    <t>23</t>
  </si>
  <si>
    <t>AUG</t>
  </si>
  <si>
    <t>05</t>
  </si>
  <si>
    <t>SEP</t>
  </si>
  <si>
    <t>14</t>
  </si>
  <si>
    <t>OCT</t>
  </si>
  <si>
    <t>17</t>
  </si>
  <si>
    <t>IN</t>
  </si>
  <si>
    <t>25</t>
  </si>
  <si>
    <t>AU</t>
  </si>
  <si>
    <t>NOV</t>
  </si>
  <si>
    <t>08</t>
  </si>
  <si>
    <t>DE</t>
  </si>
  <si>
    <t>DEC</t>
  </si>
  <si>
    <t>18</t>
  </si>
  <si>
    <t>CA</t>
  </si>
  <si>
    <t>16</t>
  </si>
  <si>
    <t>ES</t>
  </si>
  <si>
    <t>21</t>
  </si>
  <si>
    <t>20</t>
  </si>
  <si>
    <t>CN</t>
  </si>
  <si>
    <t>27</t>
  </si>
  <si>
    <t>IT</t>
  </si>
  <si>
    <t>01</t>
  </si>
  <si>
    <t>RU</t>
  </si>
  <si>
    <t>09</t>
  </si>
  <si>
    <t>BR</t>
  </si>
  <si>
    <t>29</t>
  </si>
  <si>
    <t>13</t>
  </si>
  <si>
    <t>24</t>
  </si>
  <si>
    <t>02</t>
  </si>
  <si>
    <t>FR</t>
  </si>
  <si>
    <t>Using the SUMIF function SUMIF(F2:F35,"Electronics",H2:H35) have calculated the otal no of electronics in the table.</t>
  </si>
  <si>
    <t>Using the COUNTIF function COUNTIF(H2:H35,"&lt;100") calculated the no of products price less than $100</t>
  </si>
  <si>
    <t>5. Text Formatting – LEFT, RIGHT, MID</t>
  </si>
  <si>
    <t>Using the LEFT,RIGHT, MID functions have created three columns named as ID, Country Code, month and splited the Product ID column into three.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</si>
</sst>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2"/>
      <color rgb="FF002060"/>
      <name val="Arial"/>
      <family val="2"/>
    </font>
    <font>
      <b/>
      <sz val="14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4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3" borderId="1" xfId="0" applyFont="1" applyFill="1" applyBorder="1"/>
    <xf numFmtId="0" fontId="5" fillId="0" borderId="1" xfId="0" applyFont="1" applyBorder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7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8" fillId="0" borderId="1" xfId="0" applyFont="1" applyBorder="1"/>
    <xf numFmtId="0" fontId="6" fillId="5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0" fillId="5" borderId="1" xfId="0" applyFill="1" applyBorder="1"/>
    <xf numFmtId="0" fontId="5" fillId="6" borderId="1" xfId="0" applyFont="1" applyFill="1" applyBorder="1" applyAlignment="1">
      <alignment wrapText="1"/>
    </xf>
    <xf numFmtId="0" fontId="0" fillId="6" borderId="1" xfId="0" applyFill="1" applyBorder="1"/>
    <xf numFmtId="0" fontId="5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activeCell="H30" sqref="H30"/>
    </sheetView>
  </sheetViews>
  <sheetFormatPr defaultColWidth="12.6640625" defaultRowHeight="15" customHeight="1" x14ac:dyDescent="0.25"/>
  <cols>
    <col min="2" max="2" width="14.1093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>
      <c r="C36" s="3" t="s">
        <v>93</v>
      </c>
      <c r="D36">
        <f>SUM(D2:D35)</f>
        <v>10100</v>
      </c>
    </row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BD5C-733F-4B9A-8BF8-EFFB451F3082}">
  <dimension ref="A1:K60"/>
  <sheetViews>
    <sheetView workbookViewId="0">
      <selection activeCell="D3" sqref="D3"/>
    </sheetView>
  </sheetViews>
  <sheetFormatPr defaultColWidth="13.6640625" defaultRowHeight="29.4" customHeight="1" x14ac:dyDescent="0.25"/>
  <cols>
    <col min="1" max="1" width="14.77734375" customWidth="1"/>
    <col min="2" max="2" width="10.109375" customWidth="1"/>
    <col min="3" max="3" width="9" customWidth="1"/>
    <col min="4" max="4" width="11.6640625" customWidth="1"/>
    <col min="5" max="5" width="19.77734375" customWidth="1"/>
    <col min="6" max="6" width="17.5546875" customWidth="1"/>
    <col min="7" max="7" width="26" customWidth="1"/>
    <col min="8" max="8" width="22.33203125" customWidth="1"/>
    <col min="9" max="9" width="11.77734375" customWidth="1"/>
  </cols>
  <sheetData>
    <row r="1" spans="1:10" ht="44.4" customHeight="1" x14ac:dyDescent="0.25">
      <c r="A1" s="6" t="s">
        <v>0</v>
      </c>
      <c r="B1" s="6" t="s">
        <v>115</v>
      </c>
      <c r="C1" s="13" t="s">
        <v>116</v>
      </c>
      <c r="D1" s="6" t="s">
        <v>117</v>
      </c>
      <c r="E1" s="6" t="s">
        <v>1</v>
      </c>
      <c r="F1" s="6" t="s">
        <v>5</v>
      </c>
      <c r="G1" s="6" t="s">
        <v>2</v>
      </c>
      <c r="H1" s="6" t="s">
        <v>3</v>
      </c>
      <c r="I1" s="6" t="s">
        <v>4</v>
      </c>
      <c r="J1" s="6" t="s">
        <v>101</v>
      </c>
    </row>
    <row r="2" spans="1:10" ht="29.4" customHeight="1" x14ac:dyDescent="0.25">
      <c r="A2" s="7" t="s">
        <v>6</v>
      </c>
      <c r="B2" s="7" t="str">
        <f t="shared" ref="B2:B35" si="0">LEFT(A2,2)</f>
        <v>28</v>
      </c>
      <c r="C2" s="7" t="str">
        <f t="shared" ref="C2:C35" si="1">RIGHT(A2,2)</f>
        <v>US</v>
      </c>
      <c r="D2" s="7" t="str">
        <f t="shared" ref="D2:D35" si="2">MID(A2,4,3)</f>
        <v>JAN</v>
      </c>
      <c r="E2" s="7" t="s">
        <v>7</v>
      </c>
      <c r="F2" s="7" t="s">
        <v>9</v>
      </c>
      <c r="G2" s="7" t="s">
        <v>8</v>
      </c>
      <c r="H2" s="7">
        <v>1000</v>
      </c>
      <c r="I2" s="7">
        <v>30</v>
      </c>
      <c r="J2" s="7" t="str">
        <f>IF(H2&gt;500,"High Price","Standard Price")</f>
        <v>High Price</v>
      </c>
    </row>
    <row r="3" spans="1:10" ht="29.4" customHeight="1" x14ac:dyDescent="0.25">
      <c r="A3" s="8" t="s">
        <v>10</v>
      </c>
      <c r="B3" s="8" t="str">
        <f t="shared" si="0"/>
        <v>15</v>
      </c>
      <c r="C3" s="8" t="str">
        <f t="shared" si="1"/>
        <v>US</v>
      </c>
      <c r="D3" s="8" t="str">
        <f t="shared" si="2"/>
        <v>FEB</v>
      </c>
      <c r="E3" s="8" t="s">
        <v>11</v>
      </c>
      <c r="F3" s="8" t="s">
        <v>13</v>
      </c>
      <c r="G3" s="8" t="s">
        <v>12</v>
      </c>
      <c r="H3" s="8">
        <v>80</v>
      </c>
      <c r="I3" s="8">
        <v>15</v>
      </c>
      <c r="J3" s="8" t="str">
        <f>IF(H3&gt;500,"High Price","Standard Price")</f>
        <v>Standard Price</v>
      </c>
    </row>
    <row r="4" spans="1:10" ht="29.4" customHeight="1" x14ac:dyDescent="0.25">
      <c r="A4" s="7" t="s">
        <v>14</v>
      </c>
      <c r="B4" s="7" t="str">
        <f t="shared" si="0"/>
        <v>03</v>
      </c>
      <c r="C4" s="7" t="str">
        <f t="shared" si="1"/>
        <v>US</v>
      </c>
      <c r="D4" s="7" t="str">
        <f t="shared" si="2"/>
        <v>MAR</v>
      </c>
      <c r="E4" s="7" t="s">
        <v>15</v>
      </c>
      <c r="F4" s="7" t="s">
        <v>17</v>
      </c>
      <c r="G4" s="7" t="s">
        <v>16</v>
      </c>
      <c r="H4" s="7">
        <v>130</v>
      </c>
      <c r="I4" s="7">
        <v>40</v>
      </c>
      <c r="J4" s="7" t="str">
        <f t="shared" ref="J4:J35" si="3">IF(H4&gt;500,"High Price","Standard Price")</f>
        <v>Standard Price</v>
      </c>
    </row>
    <row r="5" spans="1:10" ht="29.4" customHeight="1" x14ac:dyDescent="0.25">
      <c r="A5" s="8" t="s">
        <v>18</v>
      </c>
      <c r="B5" s="8" t="str">
        <f t="shared" si="0"/>
        <v>11</v>
      </c>
      <c r="C5" s="8" t="str">
        <f t="shared" si="1"/>
        <v>US</v>
      </c>
      <c r="D5" s="8" t="str">
        <f t="shared" si="2"/>
        <v>APR</v>
      </c>
      <c r="E5" s="8" t="s">
        <v>19</v>
      </c>
      <c r="F5" s="8" t="s">
        <v>9</v>
      </c>
      <c r="G5" s="8" t="s">
        <v>20</v>
      </c>
      <c r="H5" s="8">
        <v>900</v>
      </c>
      <c r="I5" s="8">
        <v>25</v>
      </c>
      <c r="J5" s="8" t="str">
        <f t="shared" si="3"/>
        <v>High Price</v>
      </c>
    </row>
    <row r="6" spans="1:10" ht="29.4" customHeight="1" x14ac:dyDescent="0.25">
      <c r="A6" s="7" t="s">
        <v>21</v>
      </c>
      <c r="B6" s="7" t="str">
        <f t="shared" si="0"/>
        <v>22</v>
      </c>
      <c r="C6" s="7" t="str">
        <f t="shared" si="1"/>
        <v>US</v>
      </c>
      <c r="D6" s="7" t="str">
        <f t="shared" si="2"/>
        <v>MAY</v>
      </c>
      <c r="E6" s="7" t="s">
        <v>22</v>
      </c>
      <c r="F6" s="7" t="s">
        <v>24</v>
      </c>
      <c r="G6" s="7" t="s">
        <v>23</v>
      </c>
      <c r="H6" s="7">
        <v>70</v>
      </c>
      <c r="I6" s="7">
        <v>20</v>
      </c>
      <c r="J6" s="7" t="str">
        <f t="shared" si="3"/>
        <v>Standard Price</v>
      </c>
    </row>
    <row r="7" spans="1:10" ht="29.4" customHeight="1" x14ac:dyDescent="0.25">
      <c r="A7" s="8" t="s">
        <v>25</v>
      </c>
      <c r="B7" s="8" t="str">
        <f t="shared" si="0"/>
        <v>07</v>
      </c>
      <c r="C7" s="8" t="str">
        <f t="shared" si="1"/>
        <v>UK</v>
      </c>
      <c r="D7" s="8" t="str">
        <f t="shared" si="2"/>
        <v>JUN</v>
      </c>
      <c r="E7" s="8" t="s">
        <v>26</v>
      </c>
      <c r="F7" s="8" t="s">
        <v>9</v>
      </c>
      <c r="G7" s="8" t="s">
        <v>27</v>
      </c>
      <c r="H7" s="8">
        <v>200</v>
      </c>
      <c r="I7" s="8">
        <v>45</v>
      </c>
      <c r="J7" s="8" t="str">
        <f t="shared" si="3"/>
        <v>Standard Price</v>
      </c>
    </row>
    <row r="8" spans="1:10" ht="29.4" customHeight="1" x14ac:dyDescent="0.25">
      <c r="A8" s="7" t="s">
        <v>28</v>
      </c>
      <c r="B8" s="7" t="str">
        <f t="shared" si="0"/>
        <v>19</v>
      </c>
      <c r="C8" s="7" t="str">
        <f t="shared" si="1"/>
        <v>UK</v>
      </c>
      <c r="D8" s="7" t="str">
        <f t="shared" si="2"/>
        <v>JUL</v>
      </c>
      <c r="E8" s="7" t="s">
        <v>29</v>
      </c>
      <c r="F8" s="7" t="s">
        <v>13</v>
      </c>
      <c r="G8" s="7" t="s">
        <v>30</v>
      </c>
      <c r="H8" s="7">
        <v>30</v>
      </c>
      <c r="I8" s="7">
        <v>5</v>
      </c>
      <c r="J8" s="7" t="str">
        <f t="shared" si="3"/>
        <v>Standard Price</v>
      </c>
    </row>
    <row r="9" spans="1:10" ht="29.4" customHeight="1" x14ac:dyDescent="0.25">
      <c r="A9" s="8" t="s">
        <v>31</v>
      </c>
      <c r="B9" s="8" t="str">
        <f t="shared" si="0"/>
        <v>23</v>
      </c>
      <c r="C9" s="8" t="str">
        <f t="shared" si="1"/>
        <v>UK</v>
      </c>
      <c r="D9" s="8" t="str">
        <f t="shared" si="2"/>
        <v>AUG</v>
      </c>
      <c r="E9" s="8" t="s">
        <v>32</v>
      </c>
      <c r="F9" s="8" t="s">
        <v>17</v>
      </c>
      <c r="G9" s="8" t="s">
        <v>33</v>
      </c>
      <c r="H9" s="8">
        <v>90</v>
      </c>
      <c r="I9" s="8">
        <v>35</v>
      </c>
      <c r="J9" s="8" t="str">
        <f t="shared" si="3"/>
        <v>Standard Price</v>
      </c>
    </row>
    <row r="10" spans="1:10" ht="29.4" customHeight="1" x14ac:dyDescent="0.25">
      <c r="A10" s="7" t="s">
        <v>34</v>
      </c>
      <c r="B10" s="7" t="str">
        <f t="shared" si="0"/>
        <v>05</v>
      </c>
      <c r="C10" s="7" t="str">
        <f t="shared" si="1"/>
        <v>UK</v>
      </c>
      <c r="D10" s="7" t="str">
        <f t="shared" si="2"/>
        <v>SEP</v>
      </c>
      <c r="E10" s="7" t="s">
        <v>35</v>
      </c>
      <c r="F10" s="7" t="s">
        <v>9</v>
      </c>
      <c r="G10" s="7" t="s">
        <v>36</v>
      </c>
      <c r="H10" s="7">
        <v>500</v>
      </c>
      <c r="I10" s="7">
        <v>50</v>
      </c>
      <c r="J10" s="7" t="str">
        <f t="shared" si="3"/>
        <v>Standard Price</v>
      </c>
    </row>
    <row r="11" spans="1:10" ht="29.4" customHeight="1" x14ac:dyDescent="0.25">
      <c r="A11" s="8" t="s">
        <v>37</v>
      </c>
      <c r="B11" s="8" t="str">
        <f t="shared" si="0"/>
        <v>14</v>
      </c>
      <c r="C11" s="8" t="str">
        <f t="shared" si="1"/>
        <v>UK</v>
      </c>
      <c r="D11" s="8" t="str">
        <f t="shared" si="2"/>
        <v>OCT</v>
      </c>
      <c r="E11" s="8" t="s">
        <v>38</v>
      </c>
      <c r="F11" s="8" t="s">
        <v>24</v>
      </c>
      <c r="G11" s="8" t="s">
        <v>39</v>
      </c>
      <c r="H11" s="8">
        <v>130</v>
      </c>
      <c r="I11" s="8">
        <v>10</v>
      </c>
      <c r="J11" s="8" t="str">
        <f t="shared" si="3"/>
        <v>Standard Price</v>
      </c>
    </row>
    <row r="12" spans="1:10" ht="29.4" customHeight="1" x14ac:dyDescent="0.25">
      <c r="A12" s="7" t="s">
        <v>40</v>
      </c>
      <c r="B12" s="7" t="str">
        <f t="shared" si="0"/>
        <v>17</v>
      </c>
      <c r="C12" s="7" t="str">
        <f t="shared" si="1"/>
        <v>IN</v>
      </c>
      <c r="D12" s="7" t="str">
        <f t="shared" si="2"/>
        <v>JUN</v>
      </c>
      <c r="E12" s="7" t="s">
        <v>7</v>
      </c>
      <c r="F12" s="7" t="s">
        <v>9</v>
      </c>
      <c r="G12" s="7" t="s">
        <v>41</v>
      </c>
      <c r="H12" s="7">
        <v>950</v>
      </c>
      <c r="I12" s="7">
        <v>25</v>
      </c>
      <c r="J12" s="7" t="str">
        <f t="shared" si="3"/>
        <v>High Price</v>
      </c>
    </row>
    <row r="13" spans="1:10" ht="29.4" customHeight="1" x14ac:dyDescent="0.25">
      <c r="A13" s="8" t="s">
        <v>42</v>
      </c>
      <c r="B13" s="8" t="str">
        <f t="shared" si="0"/>
        <v>25</v>
      </c>
      <c r="C13" s="8" t="str">
        <f t="shared" si="1"/>
        <v>AU</v>
      </c>
      <c r="D13" s="8" t="str">
        <f t="shared" si="2"/>
        <v>NOV</v>
      </c>
      <c r="E13" s="8" t="s">
        <v>11</v>
      </c>
      <c r="F13" s="8" t="s">
        <v>13</v>
      </c>
      <c r="G13" s="8" t="s">
        <v>30</v>
      </c>
      <c r="H13" s="8">
        <v>90</v>
      </c>
      <c r="I13" s="8">
        <v>40</v>
      </c>
      <c r="J13" s="8" t="str">
        <f t="shared" si="3"/>
        <v>Standard Price</v>
      </c>
    </row>
    <row r="14" spans="1:10" ht="29.4" customHeight="1" x14ac:dyDescent="0.25">
      <c r="A14" s="7" t="s">
        <v>43</v>
      </c>
      <c r="B14" s="7" t="str">
        <f t="shared" si="0"/>
        <v>08</v>
      </c>
      <c r="C14" s="7" t="str">
        <f t="shared" si="1"/>
        <v>DE</v>
      </c>
      <c r="D14" s="7" t="str">
        <f t="shared" si="2"/>
        <v>DEC</v>
      </c>
      <c r="E14" s="7" t="s">
        <v>15</v>
      </c>
      <c r="F14" s="7" t="s">
        <v>17</v>
      </c>
      <c r="G14" s="7" t="s">
        <v>44</v>
      </c>
      <c r="H14" s="7">
        <v>120</v>
      </c>
      <c r="I14" s="7">
        <v>35</v>
      </c>
      <c r="J14" s="7" t="str">
        <f t="shared" si="3"/>
        <v>Standard Price</v>
      </c>
    </row>
    <row r="15" spans="1:10" ht="29.4" customHeight="1" x14ac:dyDescent="0.25">
      <c r="A15" s="8" t="s">
        <v>45</v>
      </c>
      <c r="B15" s="8" t="str">
        <f t="shared" si="0"/>
        <v>18</v>
      </c>
      <c r="C15" s="8" t="str">
        <f t="shared" si="1"/>
        <v>CA</v>
      </c>
      <c r="D15" s="8" t="str">
        <f t="shared" si="2"/>
        <v>FEB</v>
      </c>
      <c r="E15" s="8" t="s">
        <v>46</v>
      </c>
      <c r="F15" s="8" t="s">
        <v>9</v>
      </c>
      <c r="G15" s="8" t="s">
        <v>47</v>
      </c>
      <c r="H15" s="8">
        <v>150</v>
      </c>
      <c r="I15" s="8">
        <v>15</v>
      </c>
      <c r="J15" s="8" t="str">
        <f t="shared" si="3"/>
        <v>Standard Price</v>
      </c>
    </row>
    <row r="16" spans="1:10" ht="29.4" customHeight="1" x14ac:dyDescent="0.25">
      <c r="A16" s="7" t="s">
        <v>48</v>
      </c>
      <c r="B16" s="7" t="str">
        <f t="shared" si="0"/>
        <v>16</v>
      </c>
      <c r="C16" s="7" t="str">
        <f t="shared" si="1"/>
        <v>ES</v>
      </c>
      <c r="D16" s="7" t="str">
        <f t="shared" si="2"/>
        <v>APR</v>
      </c>
      <c r="E16" s="7" t="s">
        <v>26</v>
      </c>
      <c r="F16" s="7" t="s">
        <v>9</v>
      </c>
      <c r="G16" s="7" t="s">
        <v>49</v>
      </c>
      <c r="H16" s="7">
        <v>250</v>
      </c>
      <c r="I16" s="7">
        <v>20</v>
      </c>
      <c r="J16" s="7" t="str">
        <f t="shared" si="3"/>
        <v>Standard Price</v>
      </c>
    </row>
    <row r="17" spans="1:10" ht="29.4" customHeight="1" x14ac:dyDescent="0.25">
      <c r="A17" s="8" t="s">
        <v>50</v>
      </c>
      <c r="B17" s="8" t="str">
        <f t="shared" si="0"/>
        <v>21</v>
      </c>
      <c r="C17" s="8" t="str">
        <f t="shared" si="1"/>
        <v>CA</v>
      </c>
      <c r="D17" s="8" t="str">
        <f t="shared" si="2"/>
        <v>AUG</v>
      </c>
      <c r="E17" s="8" t="s">
        <v>51</v>
      </c>
      <c r="F17" s="8" t="s">
        <v>53</v>
      </c>
      <c r="G17" s="8" t="s">
        <v>52</v>
      </c>
      <c r="H17" s="8">
        <v>50</v>
      </c>
      <c r="I17" s="8">
        <v>35</v>
      </c>
      <c r="J17" s="8" t="str">
        <f t="shared" si="3"/>
        <v>Standard Price</v>
      </c>
    </row>
    <row r="18" spans="1:10" ht="29.4" customHeight="1" x14ac:dyDescent="0.25">
      <c r="A18" s="7" t="s">
        <v>54</v>
      </c>
      <c r="B18" s="7" t="str">
        <f t="shared" si="0"/>
        <v>20</v>
      </c>
      <c r="C18" s="7" t="str">
        <f t="shared" si="1"/>
        <v>CN</v>
      </c>
      <c r="D18" s="7" t="str">
        <f t="shared" si="2"/>
        <v>AUG</v>
      </c>
      <c r="E18" s="7" t="s">
        <v>46</v>
      </c>
      <c r="F18" s="7" t="s">
        <v>9</v>
      </c>
      <c r="G18" s="7" t="s">
        <v>55</v>
      </c>
      <c r="H18" s="7">
        <v>160</v>
      </c>
      <c r="I18" s="7">
        <v>15</v>
      </c>
      <c r="J18" s="7" t="str">
        <f t="shared" si="3"/>
        <v>Standard Price</v>
      </c>
    </row>
    <row r="19" spans="1:10" ht="29.4" customHeight="1" x14ac:dyDescent="0.25">
      <c r="A19" s="8" t="s">
        <v>56</v>
      </c>
      <c r="B19" s="8" t="str">
        <f t="shared" si="0"/>
        <v>27</v>
      </c>
      <c r="C19" s="8" t="str">
        <f t="shared" si="1"/>
        <v>IT</v>
      </c>
      <c r="D19" s="8" t="str">
        <f t="shared" si="2"/>
        <v>JAN</v>
      </c>
      <c r="E19" s="8" t="s">
        <v>7</v>
      </c>
      <c r="F19" s="8" t="s">
        <v>9</v>
      </c>
      <c r="G19" s="8" t="s">
        <v>57</v>
      </c>
      <c r="H19" s="8">
        <v>980</v>
      </c>
      <c r="I19" s="8">
        <v>10</v>
      </c>
      <c r="J19" s="8" t="str">
        <f t="shared" si="3"/>
        <v>High Price</v>
      </c>
    </row>
    <row r="20" spans="1:10" ht="29.4" customHeight="1" x14ac:dyDescent="0.25">
      <c r="A20" s="7" t="s">
        <v>58</v>
      </c>
      <c r="B20" s="7" t="str">
        <f t="shared" si="0"/>
        <v>01</v>
      </c>
      <c r="C20" s="7" t="str">
        <f t="shared" si="1"/>
        <v>UK</v>
      </c>
      <c r="D20" s="7" t="str">
        <f t="shared" si="2"/>
        <v>MAR</v>
      </c>
      <c r="E20" s="7" t="s">
        <v>59</v>
      </c>
      <c r="F20" s="7" t="s">
        <v>13</v>
      </c>
      <c r="G20" s="7" t="s">
        <v>60</v>
      </c>
      <c r="H20" s="7">
        <v>150</v>
      </c>
      <c r="I20" s="7">
        <v>15</v>
      </c>
      <c r="J20" s="7" t="str">
        <f t="shared" si="3"/>
        <v>Standard Price</v>
      </c>
    </row>
    <row r="21" spans="1:10" ht="29.4" customHeight="1" x14ac:dyDescent="0.25">
      <c r="A21" s="8" t="s">
        <v>61</v>
      </c>
      <c r="B21" s="8" t="str">
        <f t="shared" si="0"/>
        <v>14</v>
      </c>
      <c r="C21" s="8" t="str">
        <f t="shared" si="1"/>
        <v>US</v>
      </c>
      <c r="D21" s="8" t="str">
        <f t="shared" si="2"/>
        <v>AUG</v>
      </c>
      <c r="E21" s="8" t="s">
        <v>62</v>
      </c>
      <c r="F21" s="8" t="s">
        <v>24</v>
      </c>
      <c r="G21" s="8" t="s">
        <v>63</v>
      </c>
      <c r="H21" s="8">
        <v>200</v>
      </c>
      <c r="I21" s="8">
        <v>10</v>
      </c>
      <c r="J21" s="8" t="str">
        <f t="shared" si="3"/>
        <v>Standard Price</v>
      </c>
    </row>
    <row r="22" spans="1:10" ht="29.4" customHeight="1" x14ac:dyDescent="0.25">
      <c r="A22" s="7" t="s">
        <v>64</v>
      </c>
      <c r="B22" s="7" t="str">
        <f t="shared" si="0"/>
        <v>14</v>
      </c>
      <c r="C22" s="7" t="str">
        <f t="shared" si="1"/>
        <v>RU</v>
      </c>
      <c r="D22" s="7" t="str">
        <f t="shared" si="2"/>
        <v>MAY</v>
      </c>
      <c r="E22" s="7" t="s">
        <v>65</v>
      </c>
      <c r="F22" s="7" t="s">
        <v>9</v>
      </c>
      <c r="G22" s="7" t="s">
        <v>66</v>
      </c>
      <c r="H22" s="7">
        <v>700</v>
      </c>
      <c r="I22" s="7">
        <v>50</v>
      </c>
      <c r="J22" s="7" t="str">
        <f t="shared" si="3"/>
        <v>High Price</v>
      </c>
    </row>
    <row r="23" spans="1:10" ht="29.4" customHeight="1" x14ac:dyDescent="0.25">
      <c r="A23" s="8" t="s">
        <v>67</v>
      </c>
      <c r="B23" s="8" t="str">
        <f t="shared" si="0"/>
        <v>09</v>
      </c>
      <c r="C23" s="8" t="str">
        <f t="shared" si="1"/>
        <v>CA</v>
      </c>
      <c r="D23" s="8" t="str">
        <f t="shared" si="2"/>
        <v>JAN</v>
      </c>
      <c r="E23" s="8" t="s">
        <v>68</v>
      </c>
      <c r="F23" s="8" t="s">
        <v>17</v>
      </c>
      <c r="G23" s="8" t="s">
        <v>69</v>
      </c>
      <c r="H23" s="8">
        <v>80</v>
      </c>
      <c r="I23" s="8">
        <v>20</v>
      </c>
      <c r="J23" s="8" t="str">
        <f t="shared" si="3"/>
        <v>Standard Price</v>
      </c>
    </row>
    <row r="24" spans="1:10" ht="29.4" customHeight="1" x14ac:dyDescent="0.25">
      <c r="A24" s="7" t="s">
        <v>70</v>
      </c>
      <c r="B24" s="7" t="str">
        <f t="shared" si="0"/>
        <v>19</v>
      </c>
      <c r="C24" s="7" t="str">
        <f t="shared" si="1"/>
        <v>BR</v>
      </c>
      <c r="D24" s="7" t="str">
        <f t="shared" si="2"/>
        <v>JUL</v>
      </c>
      <c r="E24" s="7" t="s">
        <v>71</v>
      </c>
      <c r="F24" s="7" t="s">
        <v>9</v>
      </c>
      <c r="G24" s="7" t="s">
        <v>72</v>
      </c>
      <c r="H24" s="7">
        <v>150</v>
      </c>
      <c r="I24" s="7">
        <v>30</v>
      </c>
      <c r="J24" s="7" t="str">
        <f t="shared" si="3"/>
        <v>Standard Price</v>
      </c>
    </row>
    <row r="25" spans="1:10" ht="29.4" customHeight="1" x14ac:dyDescent="0.25">
      <c r="A25" s="8" t="s">
        <v>50</v>
      </c>
      <c r="B25" s="8" t="str">
        <f t="shared" si="0"/>
        <v>21</v>
      </c>
      <c r="C25" s="8" t="str">
        <f t="shared" si="1"/>
        <v>CA</v>
      </c>
      <c r="D25" s="8" t="str">
        <f t="shared" si="2"/>
        <v>AUG</v>
      </c>
      <c r="E25" s="8" t="s">
        <v>51</v>
      </c>
      <c r="F25" s="8" t="s">
        <v>53</v>
      </c>
      <c r="G25" s="8" t="s">
        <v>52</v>
      </c>
      <c r="H25" s="8">
        <v>50</v>
      </c>
      <c r="I25" s="8">
        <v>35</v>
      </c>
      <c r="J25" s="8" t="str">
        <f t="shared" si="3"/>
        <v>Standard Price</v>
      </c>
    </row>
    <row r="26" spans="1:10" ht="29.4" customHeight="1" x14ac:dyDescent="0.25">
      <c r="A26" s="7" t="s">
        <v>73</v>
      </c>
      <c r="B26" s="7" t="str">
        <f t="shared" si="0"/>
        <v>29</v>
      </c>
      <c r="C26" s="7" t="str">
        <f t="shared" si="1"/>
        <v>CA</v>
      </c>
      <c r="D26" s="7" t="str">
        <f t="shared" si="2"/>
        <v>SEP</v>
      </c>
      <c r="E26" s="7" t="s">
        <v>19</v>
      </c>
      <c r="F26" s="7" t="s">
        <v>9</v>
      </c>
      <c r="G26" s="7" t="s">
        <v>74</v>
      </c>
      <c r="H26" s="7">
        <v>800</v>
      </c>
      <c r="I26" s="7">
        <v>45</v>
      </c>
      <c r="J26" s="7" t="str">
        <f t="shared" si="3"/>
        <v>High Price</v>
      </c>
    </row>
    <row r="27" spans="1:10" ht="29.4" customHeight="1" x14ac:dyDescent="0.25">
      <c r="A27" s="8" t="s">
        <v>75</v>
      </c>
      <c r="B27" s="8" t="str">
        <f t="shared" si="0"/>
        <v>03</v>
      </c>
      <c r="C27" s="8" t="str">
        <f t="shared" si="1"/>
        <v>CA</v>
      </c>
      <c r="D27" s="8" t="str">
        <f t="shared" si="2"/>
        <v>JUN</v>
      </c>
      <c r="E27" s="8" t="s">
        <v>59</v>
      </c>
      <c r="F27" s="8" t="s">
        <v>13</v>
      </c>
      <c r="G27" s="8" t="s">
        <v>76</v>
      </c>
      <c r="H27" s="8">
        <v>130</v>
      </c>
      <c r="I27" s="8">
        <v>25</v>
      </c>
      <c r="J27" s="8" t="str">
        <f t="shared" si="3"/>
        <v>Standard Price</v>
      </c>
    </row>
    <row r="28" spans="1:10" ht="29.4" customHeight="1" x14ac:dyDescent="0.25">
      <c r="A28" s="7" t="s">
        <v>77</v>
      </c>
      <c r="B28" s="7" t="str">
        <f t="shared" si="0"/>
        <v>11</v>
      </c>
      <c r="C28" s="7" t="str">
        <f t="shared" si="1"/>
        <v>CA</v>
      </c>
      <c r="D28" s="7" t="str">
        <f t="shared" si="2"/>
        <v>JUL</v>
      </c>
      <c r="E28" s="7" t="s">
        <v>32</v>
      </c>
      <c r="F28" s="7" t="s">
        <v>17</v>
      </c>
      <c r="G28" s="7" t="s">
        <v>78</v>
      </c>
      <c r="H28" s="7">
        <v>400</v>
      </c>
      <c r="I28" s="7">
        <v>40</v>
      </c>
      <c r="J28" s="7" t="str">
        <f t="shared" si="3"/>
        <v>Standard Price</v>
      </c>
    </row>
    <row r="29" spans="1:10" ht="29.4" customHeight="1" x14ac:dyDescent="0.25">
      <c r="A29" s="8" t="s">
        <v>48</v>
      </c>
      <c r="B29" s="8" t="str">
        <f t="shared" si="0"/>
        <v>16</v>
      </c>
      <c r="C29" s="8" t="str">
        <f t="shared" si="1"/>
        <v>ES</v>
      </c>
      <c r="D29" s="8" t="str">
        <f t="shared" si="2"/>
        <v>APR</v>
      </c>
      <c r="E29" s="8" t="s">
        <v>26</v>
      </c>
      <c r="F29" s="8" t="s">
        <v>9</v>
      </c>
      <c r="G29" s="8" t="s">
        <v>49</v>
      </c>
      <c r="H29" s="8">
        <v>230</v>
      </c>
      <c r="I29" s="8">
        <v>20</v>
      </c>
      <c r="J29" s="8" t="str">
        <f t="shared" si="3"/>
        <v>Standard Price</v>
      </c>
    </row>
    <row r="30" spans="1:10" ht="29.4" customHeight="1" x14ac:dyDescent="0.25">
      <c r="A30" s="7" t="s">
        <v>79</v>
      </c>
      <c r="B30" s="7" t="str">
        <f t="shared" si="0"/>
        <v>07</v>
      </c>
      <c r="C30" s="7" t="str">
        <f t="shared" si="1"/>
        <v>CA</v>
      </c>
      <c r="D30" s="7" t="str">
        <f t="shared" si="2"/>
        <v>MAR</v>
      </c>
      <c r="E30" s="7" t="s">
        <v>80</v>
      </c>
      <c r="F30" s="7" t="s">
        <v>13</v>
      </c>
      <c r="G30" s="7" t="s">
        <v>81</v>
      </c>
      <c r="H30" s="7">
        <v>60</v>
      </c>
      <c r="I30" s="7">
        <v>30</v>
      </c>
      <c r="J30" s="7" t="str">
        <f t="shared" si="3"/>
        <v>Standard Price</v>
      </c>
    </row>
    <row r="31" spans="1:10" ht="29.4" customHeight="1" x14ac:dyDescent="0.25">
      <c r="A31" s="8" t="s">
        <v>82</v>
      </c>
      <c r="B31" s="8" t="str">
        <f t="shared" si="0"/>
        <v>13</v>
      </c>
      <c r="C31" s="8" t="str">
        <f t="shared" si="1"/>
        <v>CA</v>
      </c>
      <c r="D31" s="8" t="str">
        <f t="shared" si="2"/>
        <v>APR</v>
      </c>
      <c r="E31" s="8" t="s">
        <v>83</v>
      </c>
      <c r="F31" s="8" t="s">
        <v>17</v>
      </c>
      <c r="G31" s="8" t="s">
        <v>84</v>
      </c>
      <c r="H31" s="8">
        <v>40</v>
      </c>
      <c r="I31" s="8">
        <v>10</v>
      </c>
      <c r="J31" s="8" t="str">
        <f t="shared" si="3"/>
        <v>Standard Price</v>
      </c>
    </row>
    <row r="32" spans="1:10" ht="29.4" customHeight="1" x14ac:dyDescent="0.25">
      <c r="A32" s="7" t="s">
        <v>85</v>
      </c>
      <c r="B32" s="7" t="str">
        <f t="shared" si="0"/>
        <v>24</v>
      </c>
      <c r="C32" s="7" t="str">
        <f t="shared" si="1"/>
        <v>CA</v>
      </c>
      <c r="D32" s="7" t="str">
        <f t="shared" si="2"/>
        <v>MAY</v>
      </c>
      <c r="E32" s="7" t="s">
        <v>71</v>
      </c>
      <c r="F32" s="7" t="s">
        <v>9</v>
      </c>
      <c r="G32" s="7" t="s">
        <v>86</v>
      </c>
      <c r="H32" s="7">
        <v>130</v>
      </c>
      <c r="I32" s="7">
        <v>5</v>
      </c>
      <c r="J32" s="7" t="str">
        <f t="shared" si="3"/>
        <v>Standard Price</v>
      </c>
    </row>
    <row r="33" spans="1:10" ht="29.4" customHeight="1" x14ac:dyDescent="0.25">
      <c r="A33" s="8" t="s">
        <v>87</v>
      </c>
      <c r="B33" s="8" t="str">
        <f t="shared" si="0"/>
        <v>02</v>
      </c>
      <c r="C33" s="8" t="str">
        <f t="shared" si="1"/>
        <v>CA</v>
      </c>
      <c r="D33" s="8" t="str">
        <f t="shared" si="2"/>
        <v>DEC</v>
      </c>
      <c r="E33" s="8" t="s">
        <v>88</v>
      </c>
      <c r="F33" s="8" t="s">
        <v>13</v>
      </c>
      <c r="G33" s="8" t="s">
        <v>89</v>
      </c>
      <c r="H33" s="8">
        <v>50</v>
      </c>
      <c r="I33" s="8">
        <v>50</v>
      </c>
      <c r="J33" s="8" t="str">
        <f t="shared" si="3"/>
        <v>Standard Price</v>
      </c>
    </row>
    <row r="34" spans="1:10" ht="29.4" customHeight="1" x14ac:dyDescent="0.25">
      <c r="A34" s="7" t="s">
        <v>40</v>
      </c>
      <c r="B34" s="7" t="str">
        <f t="shared" si="0"/>
        <v>17</v>
      </c>
      <c r="C34" s="7" t="str">
        <f t="shared" si="1"/>
        <v>IN</v>
      </c>
      <c r="D34" s="7" t="str">
        <f t="shared" si="2"/>
        <v>JUN</v>
      </c>
      <c r="E34" s="7" t="s">
        <v>7</v>
      </c>
      <c r="F34" s="7" t="s">
        <v>9</v>
      </c>
      <c r="G34" s="7" t="s">
        <v>41</v>
      </c>
      <c r="H34" s="7">
        <v>950</v>
      </c>
      <c r="I34" s="7">
        <v>25</v>
      </c>
      <c r="J34" s="7" t="str">
        <f t="shared" si="3"/>
        <v>High Price</v>
      </c>
    </row>
    <row r="35" spans="1:10" ht="29.4" customHeight="1" x14ac:dyDescent="0.25">
      <c r="A35" s="8" t="s">
        <v>90</v>
      </c>
      <c r="B35" s="8" t="str">
        <f t="shared" si="0"/>
        <v>09</v>
      </c>
      <c r="C35" s="8" t="str">
        <f t="shared" si="1"/>
        <v>FR</v>
      </c>
      <c r="D35" s="8" t="str">
        <f t="shared" si="2"/>
        <v>JUL</v>
      </c>
      <c r="E35" s="8" t="s">
        <v>91</v>
      </c>
      <c r="F35" s="8" t="s">
        <v>53</v>
      </c>
      <c r="G35" s="8" t="s">
        <v>92</v>
      </c>
      <c r="H35" s="8">
        <v>100</v>
      </c>
      <c r="I35" s="8">
        <v>20</v>
      </c>
      <c r="J35" s="8" t="str">
        <f t="shared" si="3"/>
        <v>Standard Price</v>
      </c>
    </row>
    <row r="36" spans="1:10" ht="29.4" customHeight="1" x14ac:dyDescent="0.25">
      <c r="B36" s="11"/>
      <c r="C36" s="11"/>
      <c r="D36" s="11"/>
      <c r="E36" s="11"/>
      <c r="G36" s="7" t="s">
        <v>93</v>
      </c>
      <c r="H36" s="9">
        <f>SUM(H2:H35)</f>
        <v>10100</v>
      </c>
      <c r="I36" s="11"/>
      <c r="J36" s="11"/>
    </row>
    <row r="37" spans="1:10" ht="29.4" customHeight="1" x14ac:dyDescent="0.25">
      <c r="A37" s="11"/>
      <c r="B37" s="11"/>
      <c r="C37" s="11"/>
      <c r="D37" s="11"/>
      <c r="E37" s="12" t="s">
        <v>97</v>
      </c>
      <c r="G37" s="24" t="s">
        <v>95</v>
      </c>
      <c r="H37" s="24">
        <f>COUNT(H2:H35)</f>
        <v>34</v>
      </c>
      <c r="I37" s="11"/>
      <c r="J37" s="11"/>
    </row>
    <row r="38" spans="1:10" ht="29.4" customHeight="1" x14ac:dyDescent="0.25">
      <c r="A38" s="11"/>
      <c r="B38" s="11"/>
      <c r="C38" s="11"/>
      <c r="D38" s="11"/>
      <c r="E38" s="11"/>
      <c r="G38" s="24"/>
      <c r="H38" s="24">
        <f>AVERAGE(H2:H35)</f>
        <v>297.05882352941177</v>
      </c>
      <c r="I38" s="11"/>
      <c r="J38" s="11"/>
    </row>
    <row r="39" spans="1:10" ht="29.4" customHeight="1" x14ac:dyDescent="0.25">
      <c r="A39" s="11"/>
      <c r="B39" s="11"/>
      <c r="C39" s="11"/>
      <c r="D39" s="11"/>
      <c r="E39" s="11"/>
      <c r="G39" s="24" t="s">
        <v>96</v>
      </c>
      <c r="H39" s="24">
        <f>ROUND(H38,0)</f>
        <v>297</v>
      </c>
      <c r="I39" s="11"/>
      <c r="J39" s="11"/>
    </row>
    <row r="40" spans="1:10" ht="29.4" customHeight="1" x14ac:dyDescent="0.25">
      <c r="A40" s="11"/>
      <c r="B40" s="11"/>
      <c r="C40" s="11"/>
      <c r="D40" s="11"/>
      <c r="E40" s="11"/>
      <c r="G40" s="24"/>
      <c r="H40" s="24"/>
      <c r="I40" s="11"/>
      <c r="J40" s="11"/>
    </row>
    <row r="41" spans="1:10" ht="29.4" customHeight="1" x14ac:dyDescent="0.25">
      <c r="B41" s="11"/>
      <c r="C41" s="11"/>
      <c r="D41" s="11"/>
      <c r="E41" s="12" t="s">
        <v>107</v>
      </c>
      <c r="G41" s="24" t="s">
        <v>98</v>
      </c>
      <c r="H41" s="24">
        <f>MIN(H2:H35)</f>
        <v>30</v>
      </c>
      <c r="I41" s="11"/>
      <c r="J41" s="11"/>
    </row>
    <row r="42" spans="1:10" ht="29.4" customHeight="1" x14ac:dyDescent="0.25">
      <c r="A42" s="11"/>
      <c r="B42" s="11"/>
      <c r="C42" s="11"/>
      <c r="D42" s="11"/>
      <c r="E42" s="11"/>
      <c r="G42" s="24" t="s">
        <v>99</v>
      </c>
      <c r="H42" s="24">
        <f>MAX(H2:H35)</f>
        <v>1000</v>
      </c>
      <c r="I42" s="11"/>
      <c r="J42" s="11"/>
    </row>
    <row r="43" spans="1:10" ht="29.4" customHeight="1" x14ac:dyDescent="0.25">
      <c r="A43" s="11"/>
      <c r="B43" s="11"/>
      <c r="C43" s="11"/>
      <c r="D43" s="11"/>
      <c r="E43" s="11"/>
      <c r="G43" s="24"/>
      <c r="H43" s="24"/>
      <c r="I43" s="11"/>
      <c r="J43" s="11"/>
    </row>
    <row r="44" spans="1:10" ht="29.4" customHeight="1" x14ac:dyDescent="0.25">
      <c r="B44" s="11"/>
      <c r="C44" s="11"/>
      <c r="D44" s="11"/>
      <c r="E44" s="12" t="s">
        <v>100</v>
      </c>
      <c r="F44" s="12" t="s">
        <v>109</v>
      </c>
      <c r="G44" s="24" t="s">
        <v>108</v>
      </c>
      <c r="H44" s="24"/>
      <c r="I44" s="11"/>
      <c r="J44" s="11"/>
    </row>
    <row r="45" spans="1:10" ht="29.4" customHeight="1" x14ac:dyDescent="0.25">
      <c r="A45" s="11"/>
      <c r="B45" s="11"/>
      <c r="C45" s="11"/>
      <c r="D45" s="11"/>
      <c r="E45" s="11"/>
      <c r="G45" s="24"/>
      <c r="H45" s="24"/>
      <c r="I45" s="11"/>
      <c r="J45" s="11"/>
    </row>
    <row r="46" spans="1:10" ht="49.2" customHeight="1" x14ac:dyDescent="0.25">
      <c r="B46" s="11"/>
      <c r="C46" s="11"/>
      <c r="D46" s="11"/>
      <c r="E46" s="12" t="s">
        <v>110</v>
      </c>
      <c r="G46" s="24"/>
      <c r="H46" s="24"/>
      <c r="I46" s="11"/>
      <c r="J46" s="11"/>
    </row>
    <row r="47" spans="1:10" ht="26.4" x14ac:dyDescent="0.25">
      <c r="A47" s="11"/>
      <c r="B47" s="11"/>
      <c r="C47" s="11"/>
      <c r="D47" s="11"/>
      <c r="E47" s="11"/>
      <c r="F47" s="10" t="s">
        <v>112</v>
      </c>
      <c r="G47" s="22" t="s">
        <v>111</v>
      </c>
      <c r="H47" s="24">
        <f>SUMIF(F2:F35,"Electronics",H2:H35)</f>
        <v>8050</v>
      </c>
      <c r="I47" s="11"/>
      <c r="J47" s="11"/>
    </row>
    <row r="48" spans="1:10" ht="29.4" customHeight="1" x14ac:dyDescent="0.25">
      <c r="A48" s="11"/>
      <c r="B48" s="11"/>
      <c r="C48" s="11"/>
      <c r="D48" s="11"/>
      <c r="E48" s="11"/>
      <c r="G48" s="24"/>
      <c r="H48" s="24"/>
      <c r="I48" s="11"/>
      <c r="J48" s="11"/>
    </row>
    <row r="49" spans="1:11" ht="29.4" customHeight="1" x14ac:dyDescent="0.25">
      <c r="A49" s="11"/>
      <c r="B49" s="11"/>
      <c r="C49" s="11"/>
      <c r="D49" s="11"/>
      <c r="E49" s="11"/>
      <c r="F49" s="10" t="s">
        <v>113</v>
      </c>
      <c r="G49" s="22" t="s">
        <v>114</v>
      </c>
      <c r="H49" s="24">
        <f>COUNTIF(H2:H35,"&lt;100")</f>
        <v>11</v>
      </c>
      <c r="I49" s="11"/>
      <c r="J49" s="11"/>
    </row>
    <row r="50" spans="1:11" ht="29.4" customHeight="1" x14ac:dyDescent="0.25">
      <c r="A50" s="11"/>
      <c r="B50" s="11"/>
      <c r="C50" s="11"/>
      <c r="D50" s="11"/>
      <c r="E50" s="11"/>
      <c r="G50" s="11"/>
      <c r="H50" s="11"/>
      <c r="I50" s="11"/>
      <c r="J50" s="11"/>
    </row>
    <row r="51" spans="1:11" ht="29.4" customHeight="1" x14ac:dyDescent="0.25">
      <c r="B51" s="11"/>
      <c r="C51" s="11"/>
      <c r="D51" s="11"/>
      <c r="E51" s="12"/>
      <c r="G51" s="11"/>
      <c r="H51" s="11"/>
      <c r="I51" s="11"/>
      <c r="J51" s="11"/>
    </row>
    <row r="52" spans="1:11" ht="29.4" customHeight="1" x14ac:dyDescent="0.25">
      <c r="A52" s="11"/>
      <c r="B52" s="11"/>
      <c r="C52" s="11"/>
      <c r="D52" s="11"/>
      <c r="E52" s="11"/>
      <c r="G52" s="11"/>
      <c r="H52" s="11"/>
      <c r="I52" s="11"/>
      <c r="J52" s="11"/>
      <c r="K52" s="10" t="s">
        <v>102</v>
      </c>
    </row>
    <row r="53" spans="1:11" ht="29.4" customHeight="1" x14ac:dyDescent="0.25">
      <c r="A53" s="11"/>
      <c r="B53" s="11"/>
      <c r="C53" s="11"/>
      <c r="D53" s="11"/>
      <c r="E53" s="11"/>
      <c r="G53" s="11"/>
      <c r="H53" s="11"/>
      <c r="I53" s="11"/>
      <c r="J53" s="11"/>
    </row>
    <row r="54" spans="1:11" ht="29.4" customHeight="1" x14ac:dyDescent="0.25">
      <c r="A54" s="11"/>
      <c r="B54" s="11"/>
      <c r="C54" s="11"/>
      <c r="D54" s="11"/>
      <c r="E54" s="11"/>
      <c r="G54" s="11"/>
      <c r="H54" s="11"/>
      <c r="I54" s="11"/>
      <c r="J54" s="11"/>
    </row>
    <row r="55" spans="1:11" ht="29.4" customHeight="1" x14ac:dyDescent="0.25">
      <c r="A55" s="11"/>
      <c r="B55" s="11"/>
      <c r="C55" s="11"/>
      <c r="D55" s="11"/>
      <c r="E55" s="11"/>
      <c r="G55" s="11"/>
      <c r="H55" s="11"/>
      <c r="I55" s="11"/>
      <c r="J55" s="11"/>
    </row>
    <row r="56" spans="1:11" ht="29.4" customHeight="1" x14ac:dyDescent="0.25">
      <c r="A56" s="11"/>
      <c r="B56" s="11"/>
      <c r="C56" s="11"/>
      <c r="D56" s="11"/>
      <c r="E56" s="11"/>
      <c r="G56" s="11"/>
      <c r="H56" s="11"/>
      <c r="I56" s="11"/>
      <c r="J56" s="11"/>
    </row>
    <row r="57" spans="1:11" ht="29.4" customHeight="1" x14ac:dyDescent="0.25">
      <c r="A57" s="11"/>
      <c r="B57" s="11"/>
      <c r="C57" s="11"/>
      <c r="D57" s="11"/>
      <c r="E57" s="11"/>
      <c r="G57" s="11"/>
      <c r="H57" s="11"/>
      <c r="I57" s="11"/>
      <c r="J57" s="11"/>
    </row>
    <row r="58" spans="1:11" ht="29.4" customHeight="1" x14ac:dyDescent="0.25">
      <c r="A58" s="11"/>
      <c r="B58" s="11"/>
      <c r="C58" s="11"/>
      <c r="D58" s="11"/>
      <c r="E58" s="11"/>
      <c r="G58" s="11"/>
      <c r="H58" s="11"/>
      <c r="I58" s="11"/>
      <c r="J58" s="11"/>
    </row>
    <row r="59" spans="1:11" ht="29.4" customHeight="1" x14ac:dyDescent="0.25">
      <c r="A59" s="11"/>
      <c r="B59" s="11"/>
      <c r="C59" s="11"/>
      <c r="D59" s="11"/>
      <c r="E59" s="11"/>
      <c r="G59" s="11"/>
      <c r="H59" s="11"/>
      <c r="I59" s="11"/>
      <c r="J59" s="11"/>
    </row>
    <row r="60" spans="1:11" ht="29.4" customHeight="1" x14ac:dyDescent="0.25">
      <c r="A60" s="11"/>
      <c r="B60" s="11"/>
      <c r="C60" s="11"/>
      <c r="D60" s="11"/>
      <c r="E60" s="11"/>
      <c r="G60" s="11"/>
      <c r="H60" s="11"/>
      <c r="I60" s="11"/>
      <c r="J6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F374-90F2-46D1-9E19-C3E5325F3D07}">
  <dimension ref="A1:L60"/>
  <sheetViews>
    <sheetView tabSelected="1" topLeftCell="A25" workbookViewId="0">
      <selection activeCell="B6" sqref="B6"/>
    </sheetView>
  </sheetViews>
  <sheetFormatPr defaultColWidth="16.44140625" defaultRowHeight="30" customHeight="1" x14ac:dyDescent="0.25"/>
  <cols>
    <col min="1" max="1" width="11.21875" customWidth="1"/>
    <col min="2" max="2" width="11.109375" customWidth="1"/>
    <col min="3" max="3" width="11.6640625" customWidth="1"/>
    <col min="7" max="7" width="13" customWidth="1"/>
    <col min="8" max="8" width="14.33203125" customWidth="1"/>
    <col min="10" max="10" width="14.5546875" customWidth="1"/>
    <col min="11" max="11" width="22.33203125" customWidth="1"/>
    <col min="12" max="12" width="8.44140625" customWidth="1"/>
  </cols>
  <sheetData>
    <row r="1" spans="1:12" s="14" customFormat="1" ht="30" customHeight="1" x14ac:dyDescent="0.3">
      <c r="A1" s="15" t="s">
        <v>115</v>
      </c>
      <c r="B1" s="15" t="s">
        <v>116</v>
      </c>
      <c r="C1" s="15" t="s">
        <v>117</v>
      </c>
      <c r="D1" s="16" t="s">
        <v>1</v>
      </c>
      <c r="E1" s="16" t="s">
        <v>5</v>
      </c>
      <c r="F1" s="16" t="s">
        <v>2</v>
      </c>
      <c r="G1" s="16" t="s">
        <v>3</v>
      </c>
      <c r="H1" s="16" t="s">
        <v>4</v>
      </c>
      <c r="I1" s="16" t="s">
        <v>101</v>
      </c>
    </row>
    <row r="2" spans="1:12" ht="30" customHeight="1" x14ac:dyDescent="0.25">
      <c r="A2" s="7" t="s">
        <v>121</v>
      </c>
      <c r="B2" s="7" t="s">
        <v>122</v>
      </c>
      <c r="C2" s="7" t="s">
        <v>123</v>
      </c>
      <c r="D2" s="7" t="s">
        <v>7</v>
      </c>
      <c r="E2" s="7" t="s">
        <v>9</v>
      </c>
      <c r="F2" s="7" t="s">
        <v>8</v>
      </c>
      <c r="G2" s="7">
        <v>1000</v>
      </c>
      <c r="H2" s="7">
        <v>30</v>
      </c>
      <c r="I2" s="7" t="str">
        <f>IF(G2&gt;500,"High Price","Standard Price")</f>
        <v>High Price</v>
      </c>
      <c r="J2" s="20" t="s">
        <v>95</v>
      </c>
      <c r="K2" s="22">
        <v>34</v>
      </c>
      <c r="L2" s="23"/>
    </row>
    <row r="3" spans="1:12" ht="30" customHeight="1" x14ac:dyDescent="0.25">
      <c r="A3" s="8" t="s">
        <v>124</v>
      </c>
      <c r="B3" s="8" t="s">
        <v>122</v>
      </c>
      <c r="C3" s="8" t="s">
        <v>125</v>
      </c>
      <c r="D3" s="8" t="s">
        <v>11</v>
      </c>
      <c r="E3" s="8" t="s">
        <v>13</v>
      </c>
      <c r="F3" s="8" t="s">
        <v>12</v>
      </c>
      <c r="G3" s="8">
        <v>80</v>
      </c>
      <c r="H3" s="8">
        <v>15</v>
      </c>
      <c r="I3" s="8" t="str">
        <f>IF(G3&gt;500,"High Price","Standard Price")</f>
        <v>Standard Price</v>
      </c>
      <c r="J3" s="20"/>
      <c r="K3" s="22">
        <v>297.05882352941177</v>
      </c>
      <c r="L3" s="23"/>
    </row>
    <row r="4" spans="1:12" ht="30" customHeight="1" x14ac:dyDescent="0.25">
      <c r="A4" s="7" t="s">
        <v>126</v>
      </c>
      <c r="B4" s="7" t="s">
        <v>122</v>
      </c>
      <c r="C4" s="7" t="s">
        <v>127</v>
      </c>
      <c r="D4" s="7" t="s">
        <v>15</v>
      </c>
      <c r="E4" s="7" t="s">
        <v>17</v>
      </c>
      <c r="F4" s="7" t="s">
        <v>16</v>
      </c>
      <c r="G4" s="7">
        <v>130</v>
      </c>
      <c r="H4" s="7">
        <v>40</v>
      </c>
      <c r="I4" s="7" t="str">
        <f t="shared" ref="I4:I35" si="0">IF(G4&gt;500,"High Price","Standard Price")</f>
        <v>Standard Price</v>
      </c>
      <c r="J4" s="20" t="s">
        <v>96</v>
      </c>
      <c r="K4" s="22">
        <v>297</v>
      </c>
      <c r="L4" s="23"/>
    </row>
    <row r="5" spans="1:12" ht="30" customHeight="1" x14ac:dyDescent="0.25">
      <c r="A5" s="8" t="s">
        <v>128</v>
      </c>
      <c r="B5" s="8" t="s">
        <v>122</v>
      </c>
      <c r="C5" s="8" t="s">
        <v>129</v>
      </c>
      <c r="D5" s="8" t="s">
        <v>19</v>
      </c>
      <c r="E5" s="8" t="s">
        <v>9</v>
      </c>
      <c r="F5" s="8" t="s">
        <v>20</v>
      </c>
      <c r="G5" s="8">
        <v>900</v>
      </c>
      <c r="H5" s="8">
        <v>25</v>
      </c>
      <c r="I5" s="8" t="str">
        <f t="shared" si="0"/>
        <v>High Price</v>
      </c>
      <c r="J5" s="20"/>
      <c r="K5" s="22"/>
      <c r="L5" s="23"/>
    </row>
    <row r="6" spans="1:12" ht="30" customHeight="1" x14ac:dyDescent="0.25">
      <c r="A6" s="7" t="s">
        <v>130</v>
      </c>
      <c r="B6" s="7" t="s">
        <v>122</v>
      </c>
      <c r="C6" s="7" t="s">
        <v>131</v>
      </c>
      <c r="D6" s="7" t="s">
        <v>22</v>
      </c>
      <c r="E6" s="7" t="s">
        <v>24</v>
      </c>
      <c r="F6" s="7" t="s">
        <v>23</v>
      </c>
      <c r="G6" s="7">
        <v>70</v>
      </c>
      <c r="H6" s="7">
        <v>20</v>
      </c>
      <c r="I6" s="7" t="str">
        <f t="shared" si="0"/>
        <v>Standard Price</v>
      </c>
      <c r="J6" s="20" t="s">
        <v>98</v>
      </c>
      <c r="K6" s="22">
        <v>30</v>
      </c>
      <c r="L6" s="23"/>
    </row>
    <row r="7" spans="1:12" ht="30" customHeight="1" x14ac:dyDescent="0.25">
      <c r="A7" s="8" t="s">
        <v>132</v>
      </c>
      <c r="B7" s="8" t="s">
        <v>133</v>
      </c>
      <c r="C7" s="8" t="s">
        <v>134</v>
      </c>
      <c r="D7" s="8" t="s">
        <v>26</v>
      </c>
      <c r="E7" s="8" t="s">
        <v>9</v>
      </c>
      <c r="F7" s="8" t="s">
        <v>27</v>
      </c>
      <c r="G7" s="8">
        <v>200</v>
      </c>
      <c r="H7" s="8">
        <v>45</v>
      </c>
      <c r="I7" s="8" t="str">
        <f t="shared" si="0"/>
        <v>Standard Price</v>
      </c>
      <c r="J7" s="20" t="s">
        <v>99</v>
      </c>
      <c r="K7" s="22">
        <v>1000</v>
      </c>
      <c r="L7" s="23"/>
    </row>
    <row r="8" spans="1:12" ht="30" customHeight="1" x14ac:dyDescent="0.25">
      <c r="A8" s="7" t="s">
        <v>135</v>
      </c>
      <c r="B8" s="7" t="s">
        <v>133</v>
      </c>
      <c r="C8" s="7" t="s">
        <v>136</v>
      </c>
      <c r="D8" s="7" t="s">
        <v>29</v>
      </c>
      <c r="E8" s="7" t="s">
        <v>13</v>
      </c>
      <c r="F8" s="7" t="s">
        <v>30</v>
      </c>
      <c r="G8" s="7">
        <v>30</v>
      </c>
      <c r="H8" s="7">
        <v>5</v>
      </c>
      <c r="I8" s="7" t="str">
        <f t="shared" si="0"/>
        <v>Standard Price</v>
      </c>
      <c r="J8" s="21"/>
      <c r="K8" s="23"/>
      <c r="L8" s="23"/>
    </row>
    <row r="9" spans="1:12" ht="31.8" customHeight="1" x14ac:dyDescent="0.25">
      <c r="A9" s="8" t="s">
        <v>137</v>
      </c>
      <c r="B9" s="8" t="s">
        <v>133</v>
      </c>
      <c r="C9" s="8" t="s">
        <v>138</v>
      </c>
      <c r="D9" s="8" t="s">
        <v>32</v>
      </c>
      <c r="E9" s="8" t="s">
        <v>17</v>
      </c>
      <c r="F9" s="8" t="s">
        <v>33</v>
      </c>
      <c r="G9" s="8">
        <v>90</v>
      </c>
      <c r="H9" s="8">
        <v>35</v>
      </c>
      <c r="I9" s="8" t="str">
        <f t="shared" si="0"/>
        <v>Standard Price</v>
      </c>
      <c r="J9" s="20" t="s">
        <v>112</v>
      </c>
      <c r="K9" s="22" t="s">
        <v>111</v>
      </c>
      <c r="L9" s="22">
        <v>8050</v>
      </c>
    </row>
    <row r="10" spans="1:12" ht="30" customHeight="1" x14ac:dyDescent="0.25">
      <c r="A10" s="7" t="s">
        <v>139</v>
      </c>
      <c r="B10" s="7" t="s">
        <v>133</v>
      </c>
      <c r="C10" s="7" t="s">
        <v>140</v>
      </c>
      <c r="D10" s="7" t="s">
        <v>35</v>
      </c>
      <c r="E10" s="7" t="s">
        <v>9</v>
      </c>
      <c r="F10" s="7" t="s">
        <v>36</v>
      </c>
      <c r="G10" s="7">
        <v>500</v>
      </c>
      <c r="H10" s="7">
        <v>50</v>
      </c>
      <c r="I10" s="7" t="str">
        <f t="shared" si="0"/>
        <v>Standard Price</v>
      </c>
      <c r="J10" s="20"/>
      <c r="K10" s="22"/>
      <c r="L10" s="22"/>
    </row>
    <row r="11" spans="1:12" ht="39" customHeight="1" x14ac:dyDescent="0.25">
      <c r="A11" s="8" t="s">
        <v>141</v>
      </c>
      <c r="B11" s="8" t="s">
        <v>133</v>
      </c>
      <c r="C11" s="8" t="s">
        <v>142</v>
      </c>
      <c r="D11" s="8" t="s">
        <v>38</v>
      </c>
      <c r="E11" s="8" t="s">
        <v>24</v>
      </c>
      <c r="F11" s="8" t="s">
        <v>39</v>
      </c>
      <c r="G11" s="8">
        <v>130</v>
      </c>
      <c r="H11" s="8">
        <v>10</v>
      </c>
      <c r="I11" s="8" t="str">
        <f t="shared" si="0"/>
        <v>Standard Price</v>
      </c>
      <c r="J11" s="20" t="s">
        <v>113</v>
      </c>
      <c r="K11" s="22" t="s">
        <v>114</v>
      </c>
      <c r="L11" s="22">
        <v>11</v>
      </c>
    </row>
    <row r="12" spans="1:12" ht="30" customHeight="1" x14ac:dyDescent="0.25">
      <c r="A12" s="7" t="s">
        <v>143</v>
      </c>
      <c r="B12" s="7" t="s">
        <v>144</v>
      </c>
      <c r="C12" s="7" t="s">
        <v>134</v>
      </c>
      <c r="D12" s="7" t="s">
        <v>7</v>
      </c>
      <c r="E12" s="7" t="s">
        <v>9</v>
      </c>
      <c r="F12" s="7" t="s">
        <v>41</v>
      </c>
      <c r="G12" s="7">
        <v>950</v>
      </c>
      <c r="H12" s="7">
        <v>25</v>
      </c>
      <c r="I12" s="7" t="str">
        <f t="shared" si="0"/>
        <v>High Price</v>
      </c>
    </row>
    <row r="13" spans="1:12" ht="30" customHeight="1" x14ac:dyDescent="0.25">
      <c r="A13" s="8" t="s">
        <v>145</v>
      </c>
      <c r="B13" s="8" t="s">
        <v>146</v>
      </c>
      <c r="C13" s="8" t="s">
        <v>147</v>
      </c>
      <c r="D13" s="8" t="s">
        <v>11</v>
      </c>
      <c r="E13" s="8" t="s">
        <v>13</v>
      </c>
      <c r="F13" s="8" t="s">
        <v>30</v>
      </c>
      <c r="G13" s="8">
        <v>90</v>
      </c>
      <c r="H13" s="8">
        <v>40</v>
      </c>
      <c r="I13" s="8" t="str">
        <f t="shared" si="0"/>
        <v>Standard Price</v>
      </c>
    </row>
    <row r="14" spans="1:12" ht="30" customHeight="1" x14ac:dyDescent="0.25">
      <c r="A14" s="7" t="s">
        <v>148</v>
      </c>
      <c r="B14" s="7" t="s">
        <v>149</v>
      </c>
      <c r="C14" s="7" t="s">
        <v>150</v>
      </c>
      <c r="D14" s="7" t="s">
        <v>15</v>
      </c>
      <c r="E14" s="7" t="s">
        <v>17</v>
      </c>
      <c r="F14" s="7" t="s">
        <v>44</v>
      </c>
      <c r="G14" s="7">
        <v>120</v>
      </c>
      <c r="H14" s="7">
        <v>35</v>
      </c>
      <c r="I14" s="7" t="str">
        <f t="shared" si="0"/>
        <v>Standard Price</v>
      </c>
    </row>
    <row r="15" spans="1:12" ht="30" customHeight="1" x14ac:dyDescent="0.25">
      <c r="A15" s="8" t="s">
        <v>151</v>
      </c>
      <c r="B15" s="8" t="s">
        <v>152</v>
      </c>
      <c r="C15" s="8" t="s">
        <v>125</v>
      </c>
      <c r="D15" s="8" t="s">
        <v>46</v>
      </c>
      <c r="E15" s="8" t="s">
        <v>9</v>
      </c>
      <c r="F15" s="8" t="s">
        <v>47</v>
      </c>
      <c r="G15" s="8">
        <v>150</v>
      </c>
      <c r="H15" s="8">
        <v>15</v>
      </c>
      <c r="I15" s="8" t="str">
        <f t="shared" si="0"/>
        <v>Standard Price</v>
      </c>
    </row>
    <row r="16" spans="1:12" ht="30" customHeight="1" x14ac:dyDescent="0.25">
      <c r="A16" s="7" t="s">
        <v>153</v>
      </c>
      <c r="B16" s="7" t="s">
        <v>154</v>
      </c>
      <c r="C16" s="7" t="s">
        <v>129</v>
      </c>
      <c r="D16" s="7" t="s">
        <v>26</v>
      </c>
      <c r="E16" s="7" t="s">
        <v>9</v>
      </c>
      <c r="F16" s="7" t="s">
        <v>49</v>
      </c>
      <c r="G16" s="7">
        <v>250</v>
      </c>
      <c r="H16" s="7">
        <v>20</v>
      </c>
      <c r="I16" s="7" t="str">
        <f t="shared" si="0"/>
        <v>Standard Price</v>
      </c>
    </row>
    <row r="17" spans="1:9" ht="30" customHeight="1" x14ac:dyDescent="0.25">
      <c r="A17" s="8" t="s">
        <v>155</v>
      </c>
      <c r="B17" s="8" t="s">
        <v>152</v>
      </c>
      <c r="C17" s="8" t="s">
        <v>138</v>
      </c>
      <c r="D17" s="8" t="s">
        <v>51</v>
      </c>
      <c r="E17" s="8" t="s">
        <v>53</v>
      </c>
      <c r="F17" s="8" t="s">
        <v>52</v>
      </c>
      <c r="G17" s="8">
        <v>50</v>
      </c>
      <c r="H17" s="8">
        <v>35</v>
      </c>
      <c r="I17" s="8" t="str">
        <f t="shared" si="0"/>
        <v>Standard Price</v>
      </c>
    </row>
    <row r="18" spans="1:9" ht="30" customHeight="1" x14ac:dyDescent="0.25">
      <c r="A18" s="7" t="s">
        <v>156</v>
      </c>
      <c r="B18" s="7" t="s">
        <v>157</v>
      </c>
      <c r="C18" s="7" t="s">
        <v>138</v>
      </c>
      <c r="D18" s="7" t="s">
        <v>46</v>
      </c>
      <c r="E18" s="7" t="s">
        <v>9</v>
      </c>
      <c r="F18" s="7" t="s">
        <v>55</v>
      </c>
      <c r="G18" s="7">
        <v>160</v>
      </c>
      <c r="H18" s="7">
        <v>15</v>
      </c>
      <c r="I18" s="7" t="str">
        <f t="shared" si="0"/>
        <v>Standard Price</v>
      </c>
    </row>
    <row r="19" spans="1:9" ht="30" customHeight="1" x14ac:dyDescent="0.25">
      <c r="A19" s="8" t="s">
        <v>158</v>
      </c>
      <c r="B19" s="8" t="s">
        <v>159</v>
      </c>
      <c r="C19" s="8" t="s">
        <v>123</v>
      </c>
      <c r="D19" s="8" t="s">
        <v>7</v>
      </c>
      <c r="E19" s="8" t="s">
        <v>9</v>
      </c>
      <c r="F19" s="8" t="s">
        <v>57</v>
      </c>
      <c r="G19" s="8">
        <v>980</v>
      </c>
      <c r="H19" s="8">
        <v>10</v>
      </c>
      <c r="I19" s="8" t="str">
        <f t="shared" si="0"/>
        <v>High Price</v>
      </c>
    </row>
    <row r="20" spans="1:9" ht="30" customHeight="1" x14ac:dyDescent="0.25">
      <c r="A20" s="7" t="s">
        <v>160</v>
      </c>
      <c r="B20" s="7" t="s">
        <v>133</v>
      </c>
      <c r="C20" s="7" t="s">
        <v>127</v>
      </c>
      <c r="D20" s="7" t="s">
        <v>59</v>
      </c>
      <c r="E20" s="7" t="s">
        <v>13</v>
      </c>
      <c r="F20" s="7" t="s">
        <v>60</v>
      </c>
      <c r="G20" s="7">
        <v>150</v>
      </c>
      <c r="H20" s="7">
        <v>15</v>
      </c>
      <c r="I20" s="7" t="str">
        <f t="shared" si="0"/>
        <v>Standard Price</v>
      </c>
    </row>
    <row r="21" spans="1:9" ht="30" customHeight="1" x14ac:dyDescent="0.25">
      <c r="A21" s="8" t="s">
        <v>141</v>
      </c>
      <c r="B21" s="8" t="s">
        <v>122</v>
      </c>
      <c r="C21" s="8" t="s">
        <v>138</v>
      </c>
      <c r="D21" s="8" t="s">
        <v>62</v>
      </c>
      <c r="E21" s="8" t="s">
        <v>24</v>
      </c>
      <c r="F21" s="8" t="s">
        <v>63</v>
      </c>
      <c r="G21" s="8">
        <v>200</v>
      </c>
      <c r="H21" s="8">
        <v>10</v>
      </c>
      <c r="I21" s="8" t="str">
        <f t="shared" si="0"/>
        <v>Standard Price</v>
      </c>
    </row>
    <row r="22" spans="1:9" ht="30" customHeight="1" x14ac:dyDescent="0.25">
      <c r="A22" s="7" t="s">
        <v>141</v>
      </c>
      <c r="B22" s="7" t="s">
        <v>161</v>
      </c>
      <c r="C22" s="7" t="s">
        <v>131</v>
      </c>
      <c r="D22" s="7" t="s">
        <v>65</v>
      </c>
      <c r="E22" s="7" t="s">
        <v>9</v>
      </c>
      <c r="F22" s="7" t="s">
        <v>66</v>
      </c>
      <c r="G22" s="7">
        <v>700</v>
      </c>
      <c r="H22" s="7">
        <v>50</v>
      </c>
      <c r="I22" s="7" t="str">
        <f t="shared" si="0"/>
        <v>High Price</v>
      </c>
    </row>
    <row r="23" spans="1:9" ht="30" customHeight="1" x14ac:dyDescent="0.25">
      <c r="A23" s="8" t="s">
        <v>162</v>
      </c>
      <c r="B23" s="8" t="s">
        <v>152</v>
      </c>
      <c r="C23" s="8" t="s">
        <v>123</v>
      </c>
      <c r="D23" s="8" t="s">
        <v>68</v>
      </c>
      <c r="E23" s="8" t="s">
        <v>17</v>
      </c>
      <c r="F23" s="8" t="s">
        <v>69</v>
      </c>
      <c r="G23" s="8">
        <v>80</v>
      </c>
      <c r="H23" s="8">
        <v>20</v>
      </c>
      <c r="I23" s="8" t="str">
        <f t="shared" si="0"/>
        <v>Standard Price</v>
      </c>
    </row>
    <row r="24" spans="1:9" ht="30" customHeight="1" x14ac:dyDescent="0.25">
      <c r="A24" s="7" t="s">
        <v>135</v>
      </c>
      <c r="B24" s="7" t="s">
        <v>163</v>
      </c>
      <c r="C24" s="7" t="s">
        <v>136</v>
      </c>
      <c r="D24" s="7" t="s">
        <v>71</v>
      </c>
      <c r="E24" s="7" t="s">
        <v>9</v>
      </c>
      <c r="F24" s="7" t="s">
        <v>72</v>
      </c>
      <c r="G24" s="7">
        <v>150</v>
      </c>
      <c r="H24" s="7">
        <v>30</v>
      </c>
      <c r="I24" s="7" t="str">
        <f t="shared" si="0"/>
        <v>Standard Price</v>
      </c>
    </row>
    <row r="25" spans="1:9" ht="30" customHeight="1" x14ac:dyDescent="0.25">
      <c r="A25" s="8" t="s">
        <v>155</v>
      </c>
      <c r="B25" s="8" t="s">
        <v>152</v>
      </c>
      <c r="C25" s="8" t="s">
        <v>138</v>
      </c>
      <c r="D25" s="8" t="s">
        <v>51</v>
      </c>
      <c r="E25" s="8" t="s">
        <v>53</v>
      </c>
      <c r="F25" s="8" t="s">
        <v>52</v>
      </c>
      <c r="G25" s="8">
        <v>50</v>
      </c>
      <c r="H25" s="8">
        <v>35</v>
      </c>
      <c r="I25" s="8" t="str">
        <f t="shared" si="0"/>
        <v>Standard Price</v>
      </c>
    </row>
    <row r="26" spans="1:9" ht="30" customHeight="1" x14ac:dyDescent="0.25">
      <c r="A26" s="7" t="s">
        <v>164</v>
      </c>
      <c r="B26" s="7" t="s">
        <v>152</v>
      </c>
      <c r="C26" s="7" t="s">
        <v>140</v>
      </c>
      <c r="D26" s="7" t="s">
        <v>19</v>
      </c>
      <c r="E26" s="7" t="s">
        <v>9</v>
      </c>
      <c r="F26" s="7" t="s">
        <v>74</v>
      </c>
      <c r="G26" s="7">
        <v>800</v>
      </c>
      <c r="H26" s="7">
        <v>45</v>
      </c>
      <c r="I26" s="7" t="str">
        <f t="shared" si="0"/>
        <v>High Price</v>
      </c>
    </row>
    <row r="27" spans="1:9" ht="30" customHeight="1" x14ac:dyDescent="0.25">
      <c r="A27" s="8" t="s">
        <v>126</v>
      </c>
      <c r="B27" s="8" t="s">
        <v>152</v>
      </c>
      <c r="C27" s="8" t="s">
        <v>134</v>
      </c>
      <c r="D27" s="8" t="s">
        <v>59</v>
      </c>
      <c r="E27" s="8" t="s">
        <v>13</v>
      </c>
      <c r="F27" s="8" t="s">
        <v>76</v>
      </c>
      <c r="G27" s="8">
        <v>130</v>
      </c>
      <c r="H27" s="8">
        <v>25</v>
      </c>
      <c r="I27" s="8" t="str">
        <f t="shared" si="0"/>
        <v>Standard Price</v>
      </c>
    </row>
    <row r="28" spans="1:9" ht="30" customHeight="1" x14ac:dyDescent="0.25">
      <c r="A28" s="7" t="s">
        <v>128</v>
      </c>
      <c r="B28" s="7" t="s">
        <v>152</v>
      </c>
      <c r="C28" s="7" t="s">
        <v>136</v>
      </c>
      <c r="D28" s="7" t="s">
        <v>32</v>
      </c>
      <c r="E28" s="7" t="s">
        <v>17</v>
      </c>
      <c r="F28" s="7" t="s">
        <v>78</v>
      </c>
      <c r="G28" s="7">
        <v>400</v>
      </c>
      <c r="H28" s="7">
        <v>40</v>
      </c>
      <c r="I28" s="7" t="str">
        <f t="shared" si="0"/>
        <v>Standard Price</v>
      </c>
    </row>
    <row r="29" spans="1:9" ht="30" customHeight="1" x14ac:dyDescent="0.25">
      <c r="A29" s="8" t="s">
        <v>153</v>
      </c>
      <c r="B29" s="8" t="s">
        <v>154</v>
      </c>
      <c r="C29" s="8" t="s">
        <v>129</v>
      </c>
      <c r="D29" s="8" t="s">
        <v>26</v>
      </c>
      <c r="E29" s="8" t="s">
        <v>9</v>
      </c>
      <c r="F29" s="8" t="s">
        <v>49</v>
      </c>
      <c r="G29" s="8">
        <v>230</v>
      </c>
      <c r="H29" s="8">
        <v>20</v>
      </c>
      <c r="I29" s="8" t="str">
        <f t="shared" si="0"/>
        <v>Standard Price</v>
      </c>
    </row>
    <row r="30" spans="1:9" ht="30" customHeight="1" x14ac:dyDescent="0.25">
      <c r="A30" s="7" t="s">
        <v>132</v>
      </c>
      <c r="B30" s="7" t="s">
        <v>152</v>
      </c>
      <c r="C30" s="7" t="s">
        <v>127</v>
      </c>
      <c r="D30" s="7" t="s">
        <v>80</v>
      </c>
      <c r="E30" s="7" t="s">
        <v>13</v>
      </c>
      <c r="F30" s="7" t="s">
        <v>81</v>
      </c>
      <c r="G30" s="7">
        <v>60</v>
      </c>
      <c r="H30" s="7">
        <v>30</v>
      </c>
      <c r="I30" s="7" t="str">
        <f t="shared" si="0"/>
        <v>Standard Price</v>
      </c>
    </row>
    <row r="31" spans="1:9" ht="30" customHeight="1" x14ac:dyDescent="0.25">
      <c r="A31" s="8" t="s">
        <v>165</v>
      </c>
      <c r="B31" s="8" t="s">
        <v>152</v>
      </c>
      <c r="C31" s="8" t="s">
        <v>129</v>
      </c>
      <c r="D31" s="8" t="s">
        <v>83</v>
      </c>
      <c r="E31" s="8" t="s">
        <v>17</v>
      </c>
      <c r="F31" s="8" t="s">
        <v>84</v>
      </c>
      <c r="G31" s="8">
        <v>40</v>
      </c>
      <c r="H31" s="8">
        <v>10</v>
      </c>
      <c r="I31" s="8" t="str">
        <f t="shared" si="0"/>
        <v>Standard Price</v>
      </c>
    </row>
    <row r="32" spans="1:9" ht="30" customHeight="1" x14ac:dyDescent="0.25">
      <c r="A32" s="7" t="s">
        <v>166</v>
      </c>
      <c r="B32" s="7" t="s">
        <v>152</v>
      </c>
      <c r="C32" s="7" t="s">
        <v>131</v>
      </c>
      <c r="D32" s="7" t="s">
        <v>71</v>
      </c>
      <c r="E32" s="7" t="s">
        <v>9</v>
      </c>
      <c r="F32" s="7" t="s">
        <v>86</v>
      </c>
      <c r="G32" s="7">
        <v>130</v>
      </c>
      <c r="H32" s="7">
        <v>5</v>
      </c>
      <c r="I32" s="7" t="str">
        <f t="shared" si="0"/>
        <v>Standard Price</v>
      </c>
    </row>
    <row r="33" spans="1:9" ht="30" customHeight="1" x14ac:dyDescent="0.25">
      <c r="A33" s="8" t="s">
        <v>167</v>
      </c>
      <c r="B33" s="8" t="s">
        <v>152</v>
      </c>
      <c r="C33" s="8" t="s">
        <v>150</v>
      </c>
      <c r="D33" s="8" t="s">
        <v>88</v>
      </c>
      <c r="E33" s="8" t="s">
        <v>13</v>
      </c>
      <c r="F33" s="8" t="s">
        <v>89</v>
      </c>
      <c r="G33" s="8">
        <v>50</v>
      </c>
      <c r="H33" s="8">
        <v>50</v>
      </c>
      <c r="I33" s="8" t="str">
        <f t="shared" si="0"/>
        <v>Standard Price</v>
      </c>
    </row>
    <row r="34" spans="1:9" ht="30" customHeight="1" x14ac:dyDescent="0.25">
      <c r="A34" s="7" t="s">
        <v>143</v>
      </c>
      <c r="B34" s="7" t="s">
        <v>144</v>
      </c>
      <c r="C34" s="7" t="s">
        <v>134</v>
      </c>
      <c r="D34" s="7" t="s">
        <v>7</v>
      </c>
      <c r="E34" s="7" t="s">
        <v>9</v>
      </c>
      <c r="F34" s="7" t="s">
        <v>41</v>
      </c>
      <c r="G34" s="7">
        <v>950</v>
      </c>
      <c r="H34" s="7">
        <v>25</v>
      </c>
      <c r="I34" s="7" t="str">
        <f t="shared" si="0"/>
        <v>High Price</v>
      </c>
    </row>
    <row r="35" spans="1:9" ht="30" customHeight="1" x14ac:dyDescent="0.25">
      <c r="A35" s="8" t="s">
        <v>162</v>
      </c>
      <c r="B35" s="8" t="s">
        <v>168</v>
      </c>
      <c r="C35" s="8" t="s">
        <v>136</v>
      </c>
      <c r="D35" s="8" t="s">
        <v>91</v>
      </c>
      <c r="E35" s="8" t="s">
        <v>53</v>
      </c>
      <c r="F35" s="8" t="s">
        <v>92</v>
      </c>
      <c r="G35" s="8">
        <v>100</v>
      </c>
      <c r="H35" s="8">
        <v>20</v>
      </c>
      <c r="I35" s="8" t="str">
        <f t="shared" si="0"/>
        <v>Standard Price</v>
      </c>
    </row>
    <row r="36" spans="1:9" ht="30" customHeight="1" x14ac:dyDescent="0.25">
      <c r="A36" s="11"/>
      <c r="B36" s="11"/>
      <c r="C36" s="11"/>
      <c r="D36" s="11"/>
      <c r="F36" s="7" t="s">
        <v>93</v>
      </c>
      <c r="G36" s="9">
        <f>SUM(G2:G35)</f>
        <v>10100</v>
      </c>
      <c r="H36" s="11"/>
      <c r="I36" s="11"/>
    </row>
    <row r="37" spans="1:9" ht="30" customHeight="1" x14ac:dyDescent="0.25">
      <c r="A37" s="11"/>
      <c r="B37" s="11"/>
      <c r="C37" s="11"/>
      <c r="D37" s="11"/>
      <c r="E37" s="11"/>
      <c r="F37" s="11"/>
    </row>
    <row r="38" spans="1:9" ht="30" customHeight="1" x14ac:dyDescent="0.25">
      <c r="A38" s="11"/>
      <c r="B38" s="11"/>
      <c r="C38" s="11"/>
      <c r="D38" s="11"/>
      <c r="E38" s="11"/>
      <c r="F38" s="11"/>
    </row>
    <row r="39" spans="1:9" ht="30" customHeight="1" x14ac:dyDescent="0.25">
      <c r="A39" s="11"/>
      <c r="B39" s="11"/>
      <c r="C39" s="11"/>
      <c r="D39" s="11"/>
      <c r="E39" s="11"/>
      <c r="F39" s="11"/>
    </row>
    <row r="40" spans="1:9" ht="30" customHeight="1" x14ac:dyDescent="0.25">
      <c r="A40" s="11"/>
      <c r="B40" s="11"/>
      <c r="C40" s="11"/>
      <c r="D40" s="11"/>
      <c r="E40" s="11"/>
      <c r="F40" s="11"/>
    </row>
    <row r="41" spans="1:9" ht="30" customHeight="1" x14ac:dyDescent="0.25">
      <c r="A41" s="11"/>
      <c r="B41" s="11"/>
      <c r="C41" s="11"/>
      <c r="D41" s="11"/>
      <c r="E41" s="11"/>
      <c r="F41" s="11"/>
    </row>
    <row r="42" spans="1:9" ht="30" customHeight="1" x14ac:dyDescent="0.25">
      <c r="A42" s="11"/>
      <c r="B42" s="11"/>
      <c r="C42" s="11"/>
      <c r="D42" s="11"/>
      <c r="E42" s="11"/>
      <c r="F42" s="11"/>
    </row>
    <row r="43" spans="1:9" ht="30" customHeight="1" x14ac:dyDescent="0.25">
      <c r="A43" s="11"/>
      <c r="B43" s="11"/>
      <c r="C43" s="11"/>
      <c r="D43" s="11"/>
      <c r="E43" s="11"/>
      <c r="F43" s="11"/>
    </row>
    <row r="44" spans="1:9" ht="30" customHeight="1" x14ac:dyDescent="0.25">
      <c r="A44" s="11"/>
      <c r="B44" s="11"/>
      <c r="C44" s="11"/>
      <c r="D44" s="11"/>
      <c r="E44" s="11"/>
      <c r="F44" s="11"/>
    </row>
    <row r="45" spans="1:9" ht="30" customHeight="1" x14ac:dyDescent="0.25">
      <c r="A45" s="11"/>
      <c r="B45" s="11"/>
      <c r="C45" s="11"/>
      <c r="D45" s="11"/>
      <c r="E45" s="11"/>
      <c r="F45" s="11"/>
    </row>
    <row r="46" spans="1:9" ht="30" customHeight="1" x14ac:dyDescent="0.25">
      <c r="A46" s="11"/>
      <c r="B46" s="11"/>
      <c r="C46" s="11"/>
      <c r="D46" s="11"/>
      <c r="E46" s="11"/>
      <c r="F46" s="11"/>
    </row>
    <row r="47" spans="1:9" ht="30" customHeight="1" x14ac:dyDescent="0.25">
      <c r="A47" s="11"/>
      <c r="B47" s="11"/>
      <c r="C47" s="11"/>
      <c r="D47" s="11"/>
      <c r="E47" s="11"/>
      <c r="F47" s="11"/>
    </row>
    <row r="48" spans="1:9" ht="30" customHeight="1" x14ac:dyDescent="0.25">
      <c r="A48" s="11"/>
      <c r="B48" s="11"/>
      <c r="C48" s="11"/>
      <c r="D48" s="11"/>
      <c r="E48" s="11"/>
      <c r="F48" s="11"/>
    </row>
    <row r="49" spans="1:6" ht="30" customHeight="1" x14ac:dyDescent="0.25">
      <c r="A49" s="11"/>
      <c r="B49" s="11"/>
      <c r="C49" s="11"/>
      <c r="D49" s="11"/>
      <c r="E49" s="11"/>
      <c r="F49" s="11"/>
    </row>
    <row r="50" spans="1:6" ht="30" customHeight="1" x14ac:dyDescent="0.25">
      <c r="A50" s="11"/>
      <c r="B50" s="11"/>
      <c r="C50" s="11"/>
      <c r="D50" s="11"/>
      <c r="E50" s="11"/>
      <c r="F50" s="11"/>
    </row>
    <row r="51" spans="1:6" ht="30" customHeight="1" x14ac:dyDescent="0.25">
      <c r="A51" s="11"/>
      <c r="B51" s="11"/>
      <c r="C51" s="11"/>
      <c r="D51" s="11"/>
      <c r="E51" s="11"/>
      <c r="F51" s="11"/>
    </row>
    <row r="52" spans="1:6" ht="30" customHeight="1" x14ac:dyDescent="0.25">
      <c r="A52" s="11"/>
      <c r="B52" s="11"/>
      <c r="C52" s="11"/>
      <c r="D52" s="11"/>
      <c r="E52" s="11"/>
      <c r="F52" s="11"/>
    </row>
    <row r="53" spans="1:6" ht="30" customHeight="1" x14ac:dyDescent="0.25">
      <c r="A53" s="11"/>
      <c r="B53" s="11"/>
      <c r="C53" s="11"/>
      <c r="D53" s="11"/>
      <c r="E53" s="11"/>
      <c r="F53" s="11"/>
    </row>
    <row r="54" spans="1:6" ht="30" customHeight="1" x14ac:dyDescent="0.25">
      <c r="A54" s="11"/>
      <c r="B54" s="11"/>
      <c r="C54" s="11"/>
      <c r="D54" s="11"/>
      <c r="E54" s="11"/>
      <c r="F54" s="11"/>
    </row>
    <row r="55" spans="1:6" ht="30" customHeight="1" x14ac:dyDescent="0.25">
      <c r="A55" s="11"/>
      <c r="B55" s="11"/>
      <c r="C55" s="11"/>
      <c r="D55" s="11"/>
      <c r="E55" s="11"/>
      <c r="F55" s="11"/>
    </row>
    <row r="56" spans="1:6" ht="30" customHeight="1" x14ac:dyDescent="0.25">
      <c r="A56" s="11"/>
      <c r="B56" s="11"/>
      <c r="C56" s="11"/>
      <c r="D56" s="11"/>
      <c r="E56" s="11"/>
      <c r="F56" s="11"/>
    </row>
    <row r="57" spans="1:6" ht="30" customHeight="1" x14ac:dyDescent="0.25">
      <c r="A57" s="11"/>
      <c r="B57" s="11"/>
      <c r="C57" s="11"/>
      <c r="D57" s="11"/>
      <c r="E57" s="11"/>
      <c r="F57" s="11"/>
    </row>
    <row r="58" spans="1:6" ht="30" customHeight="1" x14ac:dyDescent="0.25">
      <c r="A58" s="11"/>
      <c r="B58" s="11"/>
      <c r="C58" s="11"/>
      <c r="D58" s="11"/>
      <c r="E58" s="11"/>
      <c r="F58" s="11"/>
    </row>
    <row r="59" spans="1:6" ht="30" customHeight="1" x14ac:dyDescent="0.25">
      <c r="A59" s="11"/>
      <c r="B59" s="11"/>
      <c r="C59" s="11"/>
      <c r="D59" s="11"/>
      <c r="E59" s="11"/>
      <c r="F59" s="11"/>
    </row>
    <row r="60" spans="1:6" ht="30" customHeight="1" x14ac:dyDescent="0.25">
      <c r="A60" s="11"/>
      <c r="B60" s="11"/>
      <c r="C60" s="11"/>
      <c r="D60" s="11"/>
      <c r="E60" s="11"/>
      <c r="F6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1A9D-B98F-4DF1-A1D0-8181CB8A877F}">
  <dimension ref="C1:H15"/>
  <sheetViews>
    <sheetView topLeftCell="A4" workbookViewId="0">
      <selection activeCell="F7" sqref="F7"/>
    </sheetView>
  </sheetViews>
  <sheetFormatPr defaultRowHeight="29.4" customHeight="1" x14ac:dyDescent="0.25"/>
  <cols>
    <col min="3" max="3" width="105.6640625" customWidth="1"/>
  </cols>
  <sheetData>
    <row r="1" spans="3:8" ht="29.4" customHeight="1" x14ac:dyDescent="0.3">
      <c r="C1" s="17" t="s">
        <v>94</v>
      </c>
    </row>
    <row r="2" spans="3:8" ht="29.4" customHeight="1" x14ac:dyDescent="0.25">
      <c r="C2" s="18" t="s">
        <v>103</v>
      </c>
    </row>
    <row r="3" spans="3:8" ht="29.4" customHeight="1" x14ac:dyDescent="0.25">
      <c r="C3" s="19" t="s">
        <v>104</v>
      </c>
    </row>
    <row r="4" spans="3:8" ht="29.4" customHeight="1" x14ac:dyDescent="0.25">
      <c r="C4" s="19" t="s">
        <v>105</v>
      </c>
    </row>
    <row r="5" spans="3:8" ht="38.4" customHeight="1" x14ac:dyDescent="0.25">
      <c r="C5" s="19" t="s">
        <v>106</v>
      </c>
      <c r="H5" s="10"/>
    </row>
    <row r="6" spans="3:8" ht="29.4" customHeight="1" x14ac:dyDescent="0.25">
      <c r="C6" s="18" t="s">
        <v>107</v>
      </c>
    </row>
    <row r="7" spans="3:8" ht="29.4" customHeight="1" x14ac:dyDescent="0.25">
      <c r="C7" s="19" t="s">
        <v>118</v>
      </c>
    </row>
    <row r="8" spans="3:8" ht="29.4" customHeight="1" x14ac:dyDescent="0.25">
      <c r="C8" s="19" t="s">
        <v>119</v>
      </c>
    </row>
    <row r="9" spans="3:8" ht="29.4" customHeight="1" x14ac:dyDescent="0.25">
      <c r="C9" s="18" t="s">
        <v>100</v>
      </c>
    </row>
    <row r="10" spans="3:8" ht="40.200000000000003" customHeight="1" x14ac:dyDescent="0.25">
      <c r="C10" s="19" t="s">
        <v>120</v>
      </c>
    </row>
    <row r="11" spans="3:8" ht="29.4" customHeight="1" x14ac:dyDescent="0.25">
      <c r="C11" s="18" t="s">
        <v>110</v>
      </c>
    </row>
    <row r="12" spans="3:8" ht="29.4" customHeight="1" x14ac:dyDescent="0.25">
      <c r="C12" s="19" t="s">
        <v>169</v>
      </c>
    </row>
    <row r="13" spans="3:8" ht="29.4" customHeight="1" x14ac:dyDescent="0.25">
      <c r="C13" s="19" t="s">
        <v>170</v>
      </c>
    </row>
    <row r="14" spans="3:8" ht="29.4" customHeight="1" x14ac:dyDescent="0.25">
      <c r="C14" s="18" t="s">
        <v>171</v>
      </c>
    </row>
    <row r="15" spans="3:8" ht="42.6" customHeight="1" x14ac:dyDescent="0.25">
      <c r="C15" s="19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Dataset formated</vt:lpstr>
      <vt:lpstr>Modified Dataset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hemavathi k</dc:creator>
  <cp:lastModifiedBy>hemavathi k</cp:lastModifiedBy>
  <dcterms:created xsi:type="dcterms:W3CDTF">2026-06-21T12:34:33Z</dcterms:created>
  <dcterms:modified xsi:type="dcterms:W3CDTF">2026-06-23T10:22:42Z</dcterms:modified>
</cp:coreProperties>
</file>